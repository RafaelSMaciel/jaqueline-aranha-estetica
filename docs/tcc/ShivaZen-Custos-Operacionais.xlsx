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fae\Documents\shivazen-app\docs\tcc\"/>
    </mc:Choice>
  </mc:AlternateContent>
  <xr:revisionPtr revIDLastSave="0" documentId="13_ncr:1_{0A4A13DD-87C8-4FC7-AF4F-766AF0DE3F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s" sheetId="1" r:id="rId1"/>
    <sheet name="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D32" i="1"/>
  <c r="E32" i="1" s="1"/>
  <c r="E31" i="1"/>
  <c r="D30" i="1"/>
  <c r="E30" i="1" s="1"/>
  <c r="E24" i="1"/>
  <c r="E23" i="1"/>
  <c r="D22" i="1"/>
  <c r="C22" i="1"/>
  <c r="E22" i="1" s="1"/>
  <c r="D21" i="1"/>
  <c r="C21" i="1"/>
  <c r="E21" i="1" s="1"/>
  <c r="E37" i="1" s="1"/>
  <c r="D20" i="1"/>
  <c r="E20" i="1" s="1"/>
  <c r="B10" i="1"/>
  <c r="D19" i="1" s="1"/>
  <c r="E19" i="1" s="1"/>
  <c r="E34" i="1" l="1"/>
  <c r="E25" i="1"/>
  <c r="E26" i="1"/>
  <c r="E27" i="1"/>
</calcChain>
</file>

<file path=xl/sharedStrings.xml><?xml version="1.0" encoding="utf-8"?>
<sst xmlns="http://schemas.openxmlformats.org/spreadsheetml/2006/main" count="156" uniqueCount="131">
  <si>
    <t>Custo do sistema: clínica com até 60 atendimentos por mês</t>
  </si>
  <si>
    <t>Células em azul são entradas: troque o valor e a planilha recalcula. Preços de lista consultados em 30/10/2026; endereços na aba Fontes.</t>
  </si>
  <si>
    <t>Premissa</t>
  </si>
  <si>
    <t>Valor</t>
  </si>
  <si>
    <t>Observação</t>
  </si>
  <si>
    <t>Atendimentos por mês</t>
  </si>
  <si>
    <t>Teto informado pela clínica</t>
  </si>
  <si>
    <t>Códigos de acesso por atendimento</t>
  </si>
  <si>
    <t>Um código por pedido online ou por acesso à área da cliente</t>
  </si>
  <si>
    <t>Mensagens de WhatsApp por atendimento</t>
  </si>
  <si>
    <t>Lembrete D-1, pesquisa NPS (no máximo a cada 90 dias por cliente) e aviso de vaga</t>
  </si>
  <si>
    <t>Dólar (R$)</t>
  </si>
  <si>
    <t>PTAX de 16/10/2026 (R$ 5,08), arredondada para cima</t>
  </si>
  <si>
    <t>IOF na compra internacional no cartão</t>
  </si>
  <si>
    <t>Alíquota em vigor desde 2025</t>
  </si>
  <si>
    <t>Dólar com IOF (R$)</t>
  </si>
  <si>
    <t>Usado nas contas em dólar</t>
  </si>
  <si>
    <t>Railway Hobby, mensalidade (US$)</t>
  </si>
  <si>
    <t>A mensalidade já inclui US$ 5 de uso</t>
  </si>
  <si>
    <t>Railway, uso estimado (US$/mês)</t>
  </si>
  <si>
    <t>Produção ~US$ 6 + ambiente de testes dormindo ~US$ 1</t>
  </si>
  <si>
    <t>Domínio .com.br (R$/ano)</t>
  </si>
  <si>
    <t>Registro.br</t>
  </si>
  <si>
    <t>SMS pré-pago (R$ por SMS)</t>
  </si>
  <si>
    <t>SMSGo, menor pacote; créditos não expiram</t>
  </si>
  <si>
    <t>WhatsApp, mensagem de utilidade (R$)</t>
  </si>
  <si>
    <t>Tarifa da Meta para o Brasil desde 01/10/2026</t>
  </si>
  <si>
    <t>Zenvia, pacote mínimo de SMS (R$/mês)</t>
  </si>
  <si>
    <t>Provedor que o código usa hoje (até 1.000 SMS)</t>
  </si>
  <si>
    <t>Custo mensal</t>
  </si>
  <si>
    <t>Ferramenta</t>
  </si>
  <si>
    <t>Quantidade por mês</t>
  </si>
  <si>
    <t>Preço unitário (R$)</t>
  </si>
  <si>
    <t>Custo mensal (R$)</t>
  </si>
  <si>
    <t>Hospedagem do site, do painel, do banco e das rotinas</t>
  </si>
  <si>
    <t>Railway Hobby</t>
  </si>
  <si>
    <t>Inclui o PostgreSQL e o ambiente de testes</t>
  </si>
  <si>
    <t>Domínio e DNS</t>
  </si>
  <si>
    <t>Pago uma vez por ano; aqui dividido por 12</t>
  </si>
  <si>
    <t>Código de acesso da cliente</t>
  </si>
  <si>
    <t>SMS pré-pago (SMSGo)</t>
  </si>
  <si>
    <t>Depende de trocar a Zenvia no código (ver "No radar")</t>
  </si>
  <si>
    <t>Lembrete, pesquisa NPS e aviso de vaga</t>
  </si>
  <si>
    <t>WhatsApp Cloud API (Meta)</t>
  </si>
  <si>
    <t>Só para quem autorizou o WhatsApp</t>
  </si>
  <si>
    <t>E-mail (transacional e campanhas)</t>
  </si>
  <si>
    <t>Brevo Free</t>
  </si>
  <si>
    <t>Até 300 e-mails por dia; escolher na implantação (só configuração)</t>
  </si>
  <si>
    <t>Backup, erros, monitor das rotinas, antirrobô e avisos à equipe</t>
  </si>
  <si>
    <t>Cloudflare R2, Sentry, healthchecks.io, Turnstile e Web Push</t>
  </si>
  <si>
    <t>Planos gratuitos</t>
  </si>
  <si>
    <t>Total por mês</t>
  </si>
  <si>
    <t>Por atendimento</t>
  </si>
  <si>
    <t>Por ano</t>
  </si>
  <si>
    <t>Implantação (uma vez)</t>
  </si>
  <si>
    <t>Fornecedor</t>
  </si>
  <si>
    <t>Quantidade</t>
  </si>
  <si>
    <t>Valor (R$)</t>
  </si>
  <si>
    <t>Domínio .com.br, 1º ano</t>
  </si>
  <si>
    <t>Nos anos seguintes entra no custo mensal</t>
  </si>
  <si>
    <t>Chip pré-pago para o número do WhatsApp</t>
  </si>
  <si>
    <t>Operadora</t>
  </si>
  <si>
    <t>Estimativa. O número não pode estar em uso no aplicativo WhatsApp comum</t>
  </si>
  <si>
    <t>Primeiro crédito de SMS</t>
  </si>
  <si>
    <t>SMSGo</t>
  </si>
  <si>
    <t>Créditos que não expiram</t>
  </si>
  <si>
    <t>Contas nos serviços</t>
  </si>
  <si>
    <t>Railway, Brevo, Meta, Cloudflare, Sentry, healthchecks.io</t>
  </si>
  <si>
    <t>Sem custo; a Meta exige CNPJ e o Railway pede cartão</t>
  </si>
  <si>
    <t>Total da implantação</t>
  </si>
  <si>
    <t>No radar: mudança de código</t>
  </si>
  <si>
    <t>Hoje</t>
  </si>
  <si>
    <t>Recomendado</t>
  </si>
  <si>
    <t>Situação</t>
  </si>
  <si>
    <t>Economia por mês (R$)</t>
  </si>
  <si>
    <t>Código de acesso por SMS</t>
  </si>
  <si>
    <t>Zenvia, pacote mínimo mensal</t>
  </si>
  <si>
    <t>SMS pré-pago</t>
  </si>
  <si>
    <t>Pendente</t>
  </si>
  <si>
    <t>Trocar o provedor no módulo utils/sms; o custo mensal acima já considera a troca</t>
  </si>
  <si>
    <t>E-mail</t>
  </si>
  <si>
    <t>Sem provedor configurado</t>
  </si>
  <si>
    <t>Na implantação</t>
  </si>
  <si>
    <t>Só configuração: EMAIL_BACKEND do Brevo e a chave BREVO_API_KEY</t>
  </si>
  <si>
    <t>Fontes</t>
  </si>
  <si>
    <t>Item</t>
  </si>
  <si>
    <t>Fonte</t>
  </si>
  <si>
    <t>Endereço</t>
  </si>
  <si>
    <t>Consultado em</t>
  </si>
  <si>
    <t>Railway: planos e tarifas</t>
  </si>
  <si>
    <t>Railway</t>
  </si>
  <si>
    <t>https://railway.com/pricing</t>
  </si>
  <si>
    <t>30/10/2026</t>
  </si>
  <si>
    <t>Railway: modo Serverless (ambiente de testes)</t>
  </si>
  <si>
    <t>Railway Docs</t>
  </si>
  <si>
    <t>https://docs.railway.com/reference/app-sleeping</t>
  </si>
  <si>
    <t>Domínio .com.br</t>
  </si>
  <si>
    <t>Terceiro</t>
  </si>
  <si>
    <t>https://www.nuvemshop.com.br/blog/registro-br</t>
  </si>
  <si>
    <t>SMS pré-pago sem mensalidade</t>
  </si>
  <si>
    <t>https://smsgo.com.br/</t>
  </si>
  <si>
    <t>SMS para OTP no Brasil: comparativo</t>
  </si>
  <si>
    <t>https://x-apps.com.br/sms-verificacao-otp-brasil-provedores-precos/</t>
  </si>
  <si>
    <t>Zenvia: pacotes de SMS</t>
  </si>
  <si>
    <t>Zenvia</t>
  </si>
  <si>
    <t>https://zenvia.com/zoe/</t>
  </si>
  <si>
    <t>WhatsApp: modelo de cobrança</t>
  </si>
  <si>
    <t>Meta for Developers</t>
  </si>
  <si>
    <t>https://developers.facebook.com/docs/whatsapp/pricing</t>
  </si>
  <si>
    <t>WhatsApp: tarifas do Brasil (01/10/2026)</t>
  </si>
  <si>
    <t>Tabela da Meta reproduzida por terceiro</t>
  </si>
  <si>
    <t>https://zynfo.ai/whatsapp-pricing/brazil</t>
  </si>
  <si>
    <t>Brevo: plano gratuito (300 e-mails/dia)</t>
  </si>
  <si>
    <t>Resenha de terceiro</t>
  </si>
  <si>
    <t>https://www.sender.net/reviews/brevo/pricing/free-plan</t>
  </si>
  <si>
    <t>Cloudflare R2: cota gratuita</t>
  </si>
  <si>
    <t>Cloudflare Docs</t>
  </si>
  <si>
    <t>https://developers.cloudflare.com/r2/pricing</t>
  </si>
  <si>
    <t>Sentry: plano Developer</t>
  </si>
  <si>
    <t>https://costbench.com/software/developer-tools/sentry/free-plan/</t>
  </si>
  <si>
    <t>healthchecks.io: planos</t>
  </si>
  <si>
    <t>healthchecks.io</t>
  </si>
  <si>
    <t>https://healthchecks.io/pricing/</t>
  </si>
  <si>
    <t>Câmbio: PTAX de 16/10/2026</t>
  </si>
  <si>
    <t>https://www.simianx.ai/pt/stories/us-dollar-exchange-rate-by-year-every-year-1971-2026-table</t>
  </si>
  <si>
    <t>Câmbio: cotação oficial</t>
  </si>
  <si>
    <t>Banco Central</t>
  </si>
  <si>
    <t>https://www.bcb.gov.br/estabilidadefinanceira/historicocotacoes</t>
  </si>
  <si>
    <t>Premissas e estimativa de consumo</t>
  </si>
  <si>
    <t>Projeto</t>
  </si>
  <si>
    <t>docs/CUSTOS-OPERACIONAIS.md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</si>
</sst>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.00;\(&quot;R$&quot;\ #,##0.00\);&quot;-&quot;"/>
    <numFmt numFmtId="165" formatCode="0.0%;\(0.0%\);&quot;-&quot;"/>
    <numFmt numFmtId="166" formatCode="&quot;R$&quot;\ #,##0.0000"/>
    <numFmt numFmtId="167" formatCode="&quot;US$&quot;\ #,##0.00;\(&quot;US$&quot;\ #,##0.00\);&quot;-&quot;"/>
    <numFmt numFmtId="168" formatCode="&quot;R$&quot;\ #,##0.000;\(&quot;R$&quot;\ #,##0.000\);&quot;-&quot;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4"/>
      <name val="Arial"/>
    </font>
    <font>
      <i/>
      <sz val="10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color rgb="FF0000FF"/>
      <name val="Arial"/>
    </font>
    <font>
      <sz val="11"/>
      <color theme="1"/>
      <name val="Arial"/>
    </font>
    <font>
      <b/>
      <sz val="10"/>
      <name val="Arial"/>
    </font>
    <font>
      <b/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1A14"/>
      </patternFill>
    </fill>
    <fill>
      <patternFill patternType="solid">
        <fgColor rgb="FFF1EFE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1" fillId="0" borderId="1" xfId="0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166" fontId="1" fillId="0" borderId="1" xfId="0" applyNumberFormat="1" applyFont="1" applyBorder="1"/>
    <xf numFmtId="167" fontId="6" fillId="0" borderId="1" xfId="0" applyNumberFormat="1" applyFont="1" applyBorder="1"/>
    <xf numFmtId="168" fontId="6" fillId="0" borderId="1" xfId="0" applyNumberFormat="1" applyFont="1" applyBorder="1"/>
    <xf numFmtId="0" fontId="1" fillId="0" borderId="1" xfId="0" applyFont="1" applyBorder="1" applyAlignment="1">
      <alignment vertical="top" wrapText="1"/>
    </xf>
    <xf numFmtId="3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168" fontId="1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164" fontId="9" fillId="3" borderId="1" xfId="0" applyNumberFormat="1" applyFont="1" applyFill="1" applyBorder="1" applyAlignment="1">
      <alignment vertical="top" wrapText="1"/>
    </xf>
    <xf numFmtId="164" fontId="8" fillId="3" borderId="1" xfId="0" applyNumberFormat="1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164" fontId="9" fillId="0" borderId="1" xfId="0" applyNumberFormat="1" applyFont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0" borderId="1" xfId="0" applyFont="1" applyBorder="1"/>
    <xf numFmtId="0" fontId="7" fillId="0" borderId="1" xfId="0" applyFont="1" applyBorder="1"/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showGridLines="0" tabSelected="1" workbookViewId="0"/>
  </sheetViews>
  <sheetFormatPr defaultRowHeight="15" x14ac:dyDescent="0.25"/>
  <cols>
    <col min="1" max="1" width="47.140625" customWidth="1"/>
    <col min="2" max="2" width="35.7109375" customWidth="1"/>
    <col min="3" max="3" width="17.140625" customWidth="1"/>
    <col min="4" max="5" width="20" customWidth="1"/>
    <col min="6" max="6" width="54.28515625" customWidth="1"/>
  </cols>
  <sheetData>
    <row r="1" spans="1:6" ht="18" x14ac:dyDescent="0.25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2" t="s">
        <v>4</v>
      </c>
      <c r="D4" s="33"/>
      <c r="E4" s="33"/>
      <c r="F4" s="33"/>
    </row>
    <row r="5" spans="1:6" x14ac:dyDescent="0.25">
      <c r="A5" s="4" t="s">
        <v>5</v>
      </c>
      <c r="B5" s="5">
        <v>60</v>
      </c>
      <c r="C5" s="30" t="s">
        <v>6</v>
      </c>
      <c r="D5" s="31"/>
      <c r="E5" s="31"/>
      <c r="F5" s="31"/>
    </row>
    <row r="6" spans="1:6" x14ac:dyDescent="0.25">
      <c r="A6" s="4" t="s">
        <v>7</v>
      </c>
      <c r="B6" s="6">
        <v>1</v>
      </c>
      <c r="C6" s="30" t="s">
        <v>8</v>
      </c>
      <c r="D6" s="31"/>
      <c r="E6" s="31"/>
      <c r="F6" s="31"/>
    </row>
    <row r="7" spans="1:6" x14ac:dyDescent="0.25">
      <c r="A7" s="4" t="s">
        <v>9</v>
      </c>
      <c r="B7" s="6">
        <v>1.25</v>
      </c>
      <c r="C7" s="30" t="s">
        <v>10</v>
      </c>
      <c r="D7" s="31"/>
      <c r="E7" s="31"/>
      <c r="F7" s="31"/>
    </row>
    <row r="8" spans="1:6" x14ac:dyDescent="0.25">
      <c r="A8" s="4" t="s">
        <v>11</v>
      </c>
      <c r="B8" s="7">
        <v>5.0999999999999996</v>
      </c>
      <c r="C8" s="30" t="s">
        <v>12</v>
      </c>
      <c r="D8" s="31"/>
      <c r="E8" s="31"/>
      <c r="F8" s="31"/>
    </row>
    <row r="9" spans="1:6" x14ac:dyDescent="0.25">
      <c r="A9" s="4" t="s">
        <v>13</v>
      </c>
      <c r="B9" s="8">
        <v>3.5000000000000003E-2</v>
      </c>
      <c r="C9" s="30" t="s">
        <v>14</v>
      </c>
      <c r="D9" s="31"/>
      <c r="E9" s="31"/>
      <c r="F9" s="31"/>
    </row>
    <row r="10" spans="1:6" x14ac:dyDescent="0.25">
      <c r="A10" s="4" t="s">
        <v>15</v>
      </c>
      <c r="B10" s="9">
        <f>B8*(1+B9)</f>
        <v>5.2784999999999993</v>
      </c>
      <c r="C10" s="30" t="s">
        <v>16</v>
      </c>
      <c r="D10" s="31"/>
      <c r="E10" s="31"/>
      <c r="F10" s="31"/>
    </row>
    <row r="11" spans="1:6" x14ac:dyDescent="0.25">
      <c r="A11" s="4" t="s">
        <v>17</v>
      </c>
      <c r="B11" s="10">
        <v>5</v>
      </c>
      <c r="C11" s="30" t="s">
        <v>18</v>
      </c>
      <c r="D11" s="31"/>
      <c r="E11" s="31"/>
      <c r="F11" s="31"/>
    </row>
    <row r="12" spans="1:6" x14ac:dyDescent="0.25">
      <c r="A12" s="4" t="s">
        <v>19</v>
      </c>
      <c r="B12" s="10">
        <v>7</v>
      </c>
      <c r="C12" s="30" t="s">
        <v>20</v>
      </c>
      <c r="D12" s="31"/>
      <c r="E12" s="31"/>
      <c r="F12" s="31"/>
    </row>
    <row r="13" spans="1:6" x14ac:dyDescent="0.25">
      <c r="A13" s="4" t="s">
        <v>21</v>
      </c>
      <c r="B13" s="7">
        <v>40</v>
      </c>
      <c r="C13" s="30" t="s">
        <v>22</v>
      </c>
      <c r="D13" s="31"/>
      <c r="E13" s="31"/>
      <c r="F13" s="31"/>
    </row>
    <row r="14" spans="1:6" x14ac:dyDescent="0.25">
      <c r="A14" s="4" t="s">
        <v>23</v>
      </c>
      <c r="B14" s="11">
        <v>0.12</v>
      </c>
      <c r="C14" s="30" t="s">
        <v>24</v>
      </c>
      <c r="D14" s="31"/>
      <c r="E14" s="31"/>
      <c r="F14" s="31"/>
    </row>
    <row r="15" spans="1:6" x14ac:dyDescent="0.25">
      <c r="A15" s="4" t="s">
        <v>25</v>
      </c>
      <c r="B15" s="11">
        <v>3.5000000000000003E-2</v>
      </c>
      <c r="C15" s="30" t="s">
        <v>26</v>
      </c>
      <c r="D15" s="31"/>
      <c r="E15" s="31"/>
      <c r="F15" s="31"/>
    </row>
    <row r="16" spans="1:6" x14ac:dyDescent="0.25">
      <c r="A16" s="4" t="s">
        <v>27</v>
      </c>
      <c r="B16" s="7">
        <v>100</v>
      </c>
      <c r="C16" s="30" t="s">
        <v>28</v>
      </c>
      <c r="D16" s="31"/>
      <c r="E16" s="31"/>
      <c r="F16" s="31"/>
    </row>
    <row r="18" spans="1:6" ht="25.5" x14ac:dyDescent="0.25">
      <c r="A18" s="3" t="s">
        <v>29</v>
      </c>
      <c r="B18" s="3" t="s">
        <v>30</v>
      </c>
      <c r="C18" s="3" t="s">
        <v>31</v>
      </c>
      <c r="D18" s="3" t="s">
        <v>32</v>
      </c>
      <c r="E18" s="3" t="s">
        <v>33</v>
      </c>
      <c r="F18" s="3" t="s">
        <v>4</v>
      </c>
    </row>
    <row r="19" spans="1:6" ht="25.5" x14ac:dyDescent="0.25">
      <c r="A19" s="12" t="s">
        <v>34</v>
      </c>
      <c r="B19" s="12" t="s">
        <v>35</v>
      </c>
      <c r="C19" s="13">
        <v>1</v>
      </c>
      <c r="D19" s="14">
        <f>MAX(B11,B12)*B10</f>
        <v>36.949499999999993</v>
      </c>
      <c r="E19" s="14">
        <f t="shared" ref="E19:E24" si="0">C19*D19</f>
        <v>36.949499999999993</v>
      </c>
      <c r="F19" s="12" t="s">
        <v>36</v>
      </c>
    </row>
    <row r="20" spans="1:6" x14ac:dyDescent="0.25">
      <c r="A20" s="12" t="s">
        <v>37</v>
      </c>
      <c r="B20" s="12" t="s">
        <v>22</v>
      </c>
      <c r="C20" s="13">
        <v>1</v>
      </c>
      <c r="D20" s="14">
        <f>B13/12</f>
        <v>3.3333333333333335</v>
      </c>
      <c r="E20" s="14">
        <f t="shared" si="0"/>
        <v>3.3333333333333335</v>
      </c>
      <c r="F20" s="12" t="s">
        <v>38</v>
      </c>
    </row>
    <row r="21" spans="1:6" x14ac:dyDescent="0.25">
      <c r="A21" s="12" t="s">
        <v>39</v>
      </c>
      <c r="B21" s="12" t="s">
        <v>40</v>
      </c>
      <c r="C21" s="13">
        <f>B5*B6</f>
        <v>60</v>
      </c>
      <c r="D21" s="15">
        <f>B14</f>
        <v>0.12</v>
      </c>
      <c r="E21" s="14">
        <f t="shared" si="0"/>
        <v>7.1999999999999993</v>
      </c>
      <c r="F21" s="12" t="s">
        <v>41</v>
      </c>
    </row>
    <row r="22" spans="1:6" x14ac:dyDescent="0.25">
      <c r="A22" s="12" t="s">
        <v>42</v>
      </c>
      <c r="B22" s="12" t="s">
        <v>43</v>
      </c>
      <c r="C22" s="13">
        <f>B5*B7</f>
        <v>75</v>
      </c>
      <c r="D22" s="15">
        <f>B15</f>
        <v>3.5000000000000003E-2</v>
      </c>
      <c r="E22" s="14">
        <f t="shared" si="0"/>
        <v>2.6250000000000004</v>
      </c>
      <c r="F22" s="12" t="s">
        <v>44</v>
      </c>
    </row>
    <row r="23" spans="1:6" ht="25.5" x14ac:dyDescent="0.25">
      <c r="A23" s="12" t="s">
        <v>45</v>
      </c>
      <c r="B23" s="12" t="s">
        <v>46</v>
      </c>
      <c r="C23" s="13">
        <v>1</v>
      </c>
      <c r="D23" s="16">
        <v>0</v>
      </c>
      <c r="E23" s="14">
        <f t="shared" si="0"/>
        <v>0</v>
      </c>
      <c r="F23" s="12" t="s">
        <v>47</v>
      </c>
    </row>
    <row r="24" spans="1:6" ht="25.5" x14ac:dyDescent="0.25">
      <c r="A24" s="12" t="s">
        <v>48</v>
      </c>
      <c r="B24" s="12" t="s">
        <v>49</v>
      </c>
      <c r="C24" s="13">
        <v>1</v>
      </c>
      <c r="D24" s="16">
        <v>0</v>
      </c>
      <c r="E24" s="14">
        <f t="shared" si="0"/>
        <v>0</v>
      </c>
      <c r="F24" s="12" t="s">
        <v>50</v>
      </c>
    </row>
    <row r="25" spans="1:6" x14ac:dyDescent="0.25">
      <c r="A25" s="17" t="s">
        <v>51</v>
      </c>
      <c r="B25" s="18"/>
      <c r="C25" s="18"/>
      <c r="D25" s="19"/>
      <c r="E25" s="20">
        <f>SUM(E19:E24)</f>
        <v>50.107833333333332</v>
      </c>
      <c r="F25" s="18"/>
    </row>
    <row r="26" spans="1:6" x14ac:dyDescent="0.25">
      <c r="A26" s="21" t="s">
        <v>52</v>
      </c>
      <c r="B26" s="22"/>
      <c r="C26" s="22"/>
      <c r="D26" s="23"/>
      <c r="E26" s="24">
        <f>IF(B5=0,0,E25/B5)</f>
        <v>0.83513055555555549</v>
      </c>
      <c r="F26" s="22"/>
    </row>
    <row r="27" spans="1:6" x14ac:dyDescent="0.25">
      <c r="A27" s="21" t="s">
        <v>53</v>
      </c>
      <c r="B27" s="22"/>
      <c r="C27" s="22"/>
      <c r="D27" s="23"/>
      <c r="E27" s="24">
        <f>E25*12</f>
        <v>601.29399999999998</v>
      </c>
      <c r="F27" s="22"/>
    </row>
    <row r="28" spans="1:6" x14ac:dyDescent="0.25">
      <c r="A28" s="25"/>
      <c r="B28" s="25"/>
      <c r="C28" s="25"/>
      <c r="D28" s="25"/>
      <c r="E28" s="25"/>
      <c r="F28" s="25"/>
    </row>
    <row r="29" spans="1:6" x14ac:dyDescent="0.25">
      <c r="A29" s="26" t="s">
        <v>54</v>
      </c>
      <c r="B29" s="26" t="s">
        <v>55</v>
      </c>
      <c r="C29" s="26" t="s">
        <v>56</v>
      </c>
      <c r="D29" s="26" t="s">
        <v>32</v>
      </c>
      <c r="E29" s="26" t="s">
        <v>57</v>
      </c>
      <c r="F29" s="26" t="s">
        <v>4</v>
      </c>
    </row>
    <row r="30" spans="1:6" x14ac:dyDescent="0.25">
      <c r="A30" s="12" t="s">
        <v>58</v>
      </c>
      <c r="B30" s="12" t="s">
        <v>22</v>
      </c>
      <c r="C30" s="13">
        <v>1</v>
      </c>
      <c r="D30" s="14">
        <f>B13</f>
        <v>40</v>
      </c>
      <c r="E30" s="14">
        <f>C30*D30</f>
        <v>40</v>
      </c>
      <c r="F30" s="12" t="s">
        <v>59</v>
      </c>
    </row>
    <row r="31" spans="1:6" ht="25.5" x14ac:dyDescent="0.25">
      <c r="A31" s="12" t="s">
        <v>60</v>
      </c>
      <c r="B31" s="12" t="s">
        <v>61</v>
      </c>
      <c r="C31" s="13">
        <v>1</v>
      </c>
      <c r="D31" s="27">
        <v>20</v>
      </c>
      <c r="E31" s="14">
        <f>C31*D31</f>
        <v>20</v>
      </c>
      <c r="F31" s="12" t="s">
        <v>62</v>
      </c>
    </row>
    <row r="32" spans="1:6" x14ac:dyDescent="0.25">
      <c r="A32" s="12" t="s">
        <v>63</v>
      </c>
      <c r="B32" s="12" t="s">
        <v>64</v>
      </c>
      <c r="C32" s="28">
        <v>300</v>
      </c>
      <c r="D32" s="15">
        <f>B14</f>
        <v>0.12</v>
      </c>
      <c r="E32" s="14">
        <f>C32*D32</f>
        <v>36</v>
      </c>
      <c r="F32" s="12" t="s">
        <v>65</v>
      </c>
    </row>
    <row r="33" spans="1:6" ht="25.5" x14ac:dyDescent="0.25">
      <c r="A33" s="12" t="s">
        <v>66</v>
      </c>
      <c r="B33" s="12" t="s">
        <v>67</v>
      </c>
      <c r="C33" s="13">
        <v>1</v>
      </c>
      <c r="D33" s="16">
        <v>0</v>
      </c>
      <c r="E33" s="14">
        <f>C33*D33</f>
        <v>0</v>
      </c>
      <c r="F33" s="12" t="s">
        <v>68</v>
      </c>
    </row>
    <row r="34" spans="1:6" x14ac:dyDescent="0.25">
      <c r="A34" s="17" t="s">
        <v>69</v>
      </c>
      <c r="B34" s="18"/>
      <c r="C34" s="18"/>
      <c r="D34" s="19"/>
      <c r="E34" s="20">
        <f>SUM(E30:E33)</f>
        <v>96</v>
      </c>
      <c r="F34" s="18"/>
    </row>
    <row r="35" spans="1:6" x14ac:dyDescent="0.25">
      <c r="A35" s="25"/>
      <c r="B35" s="25"/>
      <c r="C35" s="25"/>
      <c r="D35" s="25"/>
      <c r="E35" s="25"/>
      <c r="F35" s="25"/>
    </row>
    <row r="36" spans="1:6" ht="25.5" x14ac:dyDescent="0.25">
      <c r="A36" s="26" t="s">
        <v>70</v>
      </c>
      <c r="B36" s="26" t="s">
        <v>71</v>
      </c>
      <c r="C36" s="26" t="s">
        <v>72</v>
      </c>
      <c r="D36" s="26" t="s">
        <v>73</v>
      </c>
      <c r="E36" s="26" t="s">
        <v>74</v>
      </c>
      <c r="F36" s="26" t="s">
        <v>4</v>
      </c>
    </row>
    <row r="37" spans="1:6" ht="25.5" x14ac:dyDescent="0.25">
      <c r="A37" s="12" t="s">
        <v>75</v>
      </c>
      <c r="B37" s="12" t="s">
        <v>76</v>
      </c>
      <c r="C37" s="12" t="s">
        <v>77</v>
      </c>
      <c r="D37" s="12" t="s">
        <v>78</v>
      </c>
      <c r="E37" s="24">
        <f>B16-E21</f>
        <v>92.8</v>
      </c>
      <c r="F37" s="12" t="s">
        <v>79</v>
      </c>
    </row>
    <row r="38" spans="1:6" ht="25.5" x14ac:dyDescent="0.25">
      <c r="A38" s="12" t="s">
        <v>80</v>
      </c>
      <c r="B38" s="12" t="s">
        <v>81</v>
      </c>
      <c r="C38" s="12" t="s">
        <v>46</v>
      </c>
      <c r="D38" s="12" t="s">
        <v>82</v>
      </c>
      <c r="E38" s="29"/>
      <c r="F38" s="12" t="s">
        <v>83</v>
      </c>
    </row>
  </sheetData>
  <mergeCells count="13">
    <mergeCell ref="C16:F16"/>
    <mergeCell ref="C15:F15"/>
    <mergeCell ref="C11:F11"/>
    <mergeCell ref="C10:F10"/>
    <mergeCell ref="C5:F5"/>
    <mergeCell ref="C14:F14"/>
    <mergeCell ref="C13:F13"/>
    <mergeCell ref="C9:F9"/>
    <mergeCell ref="C8:F8"/>
    <mergeCell ref="C4:F4"/>
    <mergeCell ref="C12:F12"/>
    <mergeCell ref="C6:F6"/>
    <mergeCell ref="C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workbookViewId="0"/>
  </sheetViews>
  <sheetFormatPr defaultRowHeight="15" x14ac:dyDescent="0.25"/>
  <cols>
    <col min="1" max="1" width="45.7109375" customWidth="1"/>
    <col min="2" max="2" width="35.7109375" customWidth="1"/>
    <col min="3" max="3" width="74.28515625" customWidth="1"/>
    <col min="4" max="4" width="15.7109375" customWidth="1"/>
  </cols>
  <sheetData>
    <row r="1" spans="1:4" ht="18" x14ac:dyDescent="0.25">
      <c r="A1" s="1" t="s">
        <v>84</v>
      </c>
    </row>
    <row r="3" spans="1:4" x14ac:dyDescent="0.25">
      <c r="A3" s="3" t="s">
        <v>85</v>
      </c>
      <c r="B3" s="3" t="s">
        <v>86</v>
      </c>
      <c r="C3" s="3" t="s">
        <v>87</v>
      </c>
      <c r="D3" s="3" t="s">
        <v>88</v>
      </c>
    </row>
    <row r="4" spans="1:4" x14ac:dyDescent="0.25">
      <c r="A4" s="4" t="s">
        <v>89</v>
      </c>
      <c r="B4" s="4" t="s">
        <v>90</v>
      </c>
      <c r="C4" s="4" t="s">
        <v>91</v>
      </c>
      <c r="D4" s="4" t="s">
        <v>92</v>
      </c>
    </row>
    <row r="5" spans="1:4" x14ac:dyDescent="0.25">
      <c r="A5" s="4" t="s">
        <v>93</v>
      </c>
      <c r="B5" s="4" t="s">
        <v>94</v>
      </c>
      <c r="C5" s="4" t="s">
        <v>95</v>
      </c>
      <c r="D5" s="4" t="s">
        <v>92</v>
      </c>
    </row>
    <row r="6" spans="1:4" x14ac:dyDescent="0.25">
      <c r="A6" s="4" t="s">
        <v>96</v>
      </c>
      <c r="B6" s="4" t="s">
        <v>97</v>
      </c>
      <c r="C6" s="4" t="s">
        <v>98</v>
      </c>
      <c r="D6" s="4" t="s">
        <v>92</v>
      </c>
    </row>
    <row r="7" spans="1:4" x14ac:dyDescent="0.25">
      <c r="A7" s="4" t="s">
        <v>99</v>
      </c>
      <c r="B7" s="4" t="s">
        <v>64</v>
      </c>
      <c r="C7" s="4" t="s">
        <v>100</v>
      </c>
      <c r="D7" s="4" t="s">
        <v>92</v>
      </c>
    </row>
    <row r="8" spans="1:4" x14ac:dyDescent="0.25">
      <c r="A8" s="4" t="s">
        <v>101</v>
      </c>
      <c r="B8" s="4" t="s">
        <v>97</v>
      </c>
      <c r="C8" s="4" t="s">
        <v>102</v>
      </c>
      <c r="D8" s="4" t="s">
        <v>92</v>
      </c>
    </row>
    <row r="9" spans="1:4" x14ac:dyDescent="0.25">
      <c r="A9" s="4" t="s">
        <v>103</v>
      </c>
      <c r="B9" s="4" t="s">
        <v>104</v>
      </c>
      <c r="C9" s="4" t="s">
        <v>105</v>
      </c>
      <c r="D9" s="4" t="s">
        <v>92</v>
      </c>
    </row>
    <row r="10" spans="1:4" x14ac:dyDescent="0.25">
      <c r="A10" s="4" t="s">
        <v>106</v>
      </c>
      <c r="B10" s="4" t="s">
        <v>107</v>
      </c>
      <c r="C10" s="4" t="s">
        <v>108</v>
      </c>
      <c r="D10" s="4" t="s">
        <v>92</v>
      </c>
    </row>
    <row r="11" spans="1:4" x14ac:dyDescent="0.25">
      <c r="A11" s="4" t="s">
        <v>109</v>
      </c>
      <c r="B11" s="4" t="s">
        <v>110</v>
      </c>
      <c r="C11" s="4" t="s">
        <v>111</v>
      </c>
      <c r="D11" s="4" t="s">
        <v>92</v>
      </c>
    </row>
    <row r="12" spans="1:4" x14ac:dyDescent="0.25">
      <c r="A12" s="4" t="s">
        <v>112</v>
      </c>
      <c r="B12" s="4" t="s">
        <v>113</v>
      </c>
      <c r="C12" s="4" t="s">
        <v>114</v>
      </c>
      <c r="D12" s="4" t="s">
        <v>92</v>
      </c>
    </row>
    <row r="13" spans="1:4" x14ac:dyDescent="0.25">
      <c r="A13" s="4" t="s">
        <v>115</v>
      </c>
      <c r="B13" s="4" t="s">
        <v>116</v>
      </c>
      <c r="C13" s="4" t="s">
        <v>117</v>
      </c>
      <c r="D13" s="4" t="s">
        <v>92</v>
      </c>
    </row>
    <row r="14" spans="1:4" x14ac:dyDescent="0.25">
      <c r="A14" s="4" t="s">
        <v>118</v>
      </c>
      <c r="B14" s="4" t="s">
        <v>97</v>
      </c>
      <c r="C14" s="4" t="s">
        <v>119</v>
      </c>
      <c r="D14" s="4" t="s">
        <v>92</v>
      </c>
    </row>
    <row r="15" spans="1:4" x14ac:dyDescent="0.25">
      <c r="A15" s="4" t="s">
        <v>120</v>
      </c>
      <c r="B15" s="4" t="s">
        <v>121</v>
      </c>
      <c r="C15" s="4" t="s">
        <v>122</v>
      </c>
      <c r="D15" s="4" t="s">
        <v>92</v>
      </c>
    </row>
    <row r="16" spans="1:4" x14ac:dyDescent="0.25">
      <c r="A16" s="4" t="s">
        <v>123</v>
      </c>
      <c r="B16" s="4" t="s">
        <v>97</v>
      </c>
      <c r="C16" s="4" t="s">
        <v>124</v>
      </c>
      <c r="D16" s="4" t="s">
        <v>92</v>
      </c>
    </row>
    <row r="17" spans="1:4" x14ac:dyDescent="0.25">
      <c r="A17" s="4" t="s">
        <v>125</v>
      </c>
      <c r="B17" s="4" t="s">
        <v>126</v>
      </c>
      <c r="C17" s="4" t="s">
        <v>127</v>
      </c>
      <c r="D17" s="4" t="s">
        <v>92</v>
      </c>
    </row>
    <row r="18" spans="1:4" x14ac:dyDescent="0.25">
      <c r="A18" s="4" t="s">
        <v>128</v>
      </c>
      <c r="B18" s="4" t="s">
        <v>129</v>
      </c>
      <c r="C18" s="4" t="s">
        <v>130</v>
      </c>
      <c r="D18" s="4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Maciel</cp:lastModifiedBy>
  <dcterms:created xsi:type="dcterms:W3CDTF">2026-10-30T23:40:02Z</dcterms:created>
  <dcterms:modified xsi:type="dcterms:W3CDTF">2026-10-30T23:40:03Z</dcterms:modified>
</cp:coreProperties>
</file>