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rafae\Documents\shivazen-app\docs\tcc\"/>
    </mc:Choice>
  </mc:AlternateContent>
  <xr:revisionPtr revIDLastSave="0" documentId="13_ncr:1_{07A589D3-B90D-40BD-AA98-93A81C676A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o" sheetId="1" r:id="rId1"/>
    <sheet name="Custo mensal" sheetId="2" r:id="rId2"/>
    <sheet name="Stack recomendada" sheetId="3" r:id="rId3"/>
    <sheet name="Premissas" sheetId="4" r:id="rId4"/>
    <sheet name="Custos únicos" sheetId="5" r:id="rId5"/>
    <sheet name="Fonte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5" l="1"/>
  <c r="D7" i="5"/>
  <c r="C6" i="5"/>
  <c r="D6" i="5" s="1"/>
  <c r="D5" i="5"/>
  <c r="C4" i="5"/>
  <c r="D4" i="5" s="1"/>
  <c r="D9" i="5" s="1"/>
  <c r="B7" i="4"/>
  <c r="D25" i="2"/>
  <c r="C25" i="2"/>
  <c r="B25" i="2"/>
  <c r="D24" i="2"/>
  <c r="C24" i="2"/>
  <c r="B24" i="2"/>
  <c r="D23" i="2"/>
  <c r="C23" i="2"/>
  <c r="B23" i="2"/>
  <c r="D20" i="2"/>
  <c r="C20" i="2"/>
  <c r="B20" i="2"/>
  <c r="D19" i="2"/>
  <c r="C19" i="2"/>
  <c r="B19" i="2"/>
  <c r="D17" i="2"/>
  <c r="C17" i="2"/>
  <c r="B17" i="2"/>
  <c r="D14" i="2"/>
  <c r="C14" i="2"/>
  <c r="B14" i="2"/>
  <c r="D11" i="2"/>
  <c r="C11" i="2"/>
  <c r="B11" i="2"/>
  <c r="D10" i="2"/>
  <c r="C10" i="2"/>
  <c r="B10" i="2"/>
  <c r="D9" i="2"/>
  <c r="D18" i="2" s="1"/>
  <c r="C9" i="2"/>
  <c r="C18" i="2" s="1"/>
  <c r="B9" i="2"/>
  <c r="B18" i="2" s="1"/>
  <c r="D8" i="2"/>
  <c r="C8" i="2"/>
  <c r="B8" i="2"/>
  <c r="D7" i="2"/>
  <c r="D16" i="2" s="1"/>
  <c r="C7" i="2"/>
  <c r="C16" i="2" s="1"/>
  <c r="B7" i="2"/>
  <c r="B16" i="2" s="1"/>
  <c r="D6" i="2"/>
  <c r="C6" i="2"/>
  <c r="B6" i="2"/>
  <c r="D5" i="2"/>
  <c r="C5" i="2"/>
  <c r="B5" i="2"/>
  <c r="D4" i="2"/>
  <c r="C4" i="2"/>
  <c r="B4" i="2"/>
  <c r="B7" i="1"/>
  <c r="A7" i="1"/>
  <c r="B6" i="1"/>
  <c r="A6" i="1"/>
  <c r="B5" i="1"/>
  <c r="A5" i="1"/>
  <c r="C15" i="2" l="1"/>
  <c r="C21" i="2" s="1"/>
  <c r="C12" i="2"/>
  <c r="C6" i="1" s="1"/>
  <c r="D15" i="2"/>
  <c r="D21" i="2" s="1"/>
  <c r="D12" i="2"/>
  <c r="C7" i="1" s="1"/>
  <c r="C26" i="2"/>
  <c r="I6" i="1" s="1"/>
  <c r="D6" i="1"/>
  <c r="E6" i="1" s="1"/>
  <c r="F6" i="1" s="1"/>
  <c r="B15" i="2"/>
  <c r="B21" i="2" s="1"/>
  <c r="B12" i="2"/>
  <c r="C5" i="1" s="1"/>
  <c r="D26" i="2" l="1"/>
  <c r="I7" i="1" s="1"/>
  <c r="D7" i="1"/>
  <c r="E7" i="1"/>
  <c r="F7" i="1"/>
  <c r="G6" i="1"/>
  <c r="H6" i="1"/>
  <c r="B26" i="2"/>
  <c r="I5" i="1" s="1"/>
  <c r="D5" i="1"/>
  <c r="E5" i="1" s="1"/>
  <c r="F5" i="1" s="1"/>
  <c r="G7" i="1" l="1"/>
  <c r="H7" i="1"/>
  <c r="G5" i="1"/>
  <c r="H5" i="1"/>
</calcChain>
</file>

<file path=xl/sharedStrings.xml><?xml version="1.0" encoding="utf-8"?>
<sst xmlns="http://schemas.openxmlformats.org/spreadsheetml/2006/main" count="291" uniqueCount="226">
  <si>
    <t>Custo mensal do sistema: stack atual x recomendada</t>
  </si>
  <si>
    <t>Trocar o SMS da Zenvia por um pré-pago e o e-mail pelo Brevo Free reduz o custo a menos da metade nos cenários pequenos.</t>
  </si>
  <si>
    <t>Cenário</t>
  </si>
  <si>
    <t>Atendimentos por mês</t>
  </si>
  <si>
    <t>Stack atual (R$/mês)</t>
  </si>
  <si>
    <t>Stack recomendada (R$/mês)</t>
  </si>
  <si>
    <t>Economia (R$/mês)</t>
  </si>
  <si>
    <t>Economia (%)</t>
  </si>
  <si>
    <t>Recomendada por atendimento (R$)</t>
  </si>
  <si>
    <t>Recomendada por ano (R$)</t>
  </si>
  <si>
    <t>Com código pelo WhatsApp (R$/mês)</t>
  </si>
  <si>
    <t>O que a stack recomendada exige:</t>
  </si>
  <si>
    <t>1. SMS: um adaptador para o provedor pré-pago no módulo utils/sms (hoje ele só fala com a Zenvia).</t>
  </si>
  <si>
    <t>2. E-mail: só configuração (EMAIL_BACKEND do Brevo no anymail e a chave BREVO_API_KEY).</t>
  </si>
  <si>
    <t>3. Código pelo WhatsApp (opcional): um canal novo no OTP e um template de autenticação aprovado na Meta.</t>
  </si>
  <si>
    <t>Os valores de infraestrutura são estimativas de consumo. Custos de implantação e fontes nas abas próprias.</t>
  </si>
  <si>
    <t>Custo mensal por cenário (R$)</t>
  </si>
  <si>
    <t>Fórmulas sobre a aba Premissas. Para simular, mude as entradas em azul de lá.</t>
  </si>
  <si>
    <t>Stack atual (como o código está hoje)</t>
  </si>
  <si>
    <t>Railway Hobby (produção + testes)</t>
  </si>
  <si>
    <t>Domínio (anual ÷ 12)</t>
  </si>
  <si>
    <t>SMS Zenvia (pacote mínimo mensal)</t>
  </si>
  <si>
    <t>WhatsApp de utilidade</t>
  </si>
  <si>
    <t>E-mail Resend (Pro quando a campanha passa de 100 por dia)</t>
  </si>
  <si>
    <t>Backup, monitoramento, antirrobô e push</t>
  </si>
  <si>
    <t>Total da stack atual</t>
  </si>
  <si>
    <t>Stack recomendada</t>
  </si>
  <si>
    <t>SMS pré-pago sem mensalidade</t>
  </si>
  <si>
    <t>E-mail Brevo (Free; Starter quando a campanha passa de 300 por dia)</t>
  </si>
  <si>
    <t>Total da stack recomendada</t>
  </si>
  <si>
    <t>Variação: código de acesso pelo WhatsApp</t>
  </si>
  <si>
    <t>Código pelo WhatsApp (autenticação)</t>
  </si>
  <si>
    <t>SMS de reserva (pré-pago)</t>
  </si>
  <si>
    <t>Total com o código pelo WhatsApp</t>
  </si>
  <si>
    <t>Ferramentas recomendadas para uma clínica pequena</t>
  </si>
  <si>
    <t>Critério: menor custo fixo, sem servidor para administrar e sem pagar por capacidade que a clínica não usa.</t>
  </si>
  <si>
    <t>Função</t>
  </si>
  <si>
    <t>Ferramenta</t>
  </si>
  <si>
    <t>Plano</t>
  </si>
  <si>
    <t>Custo de referência</t>
  </si>
  <si>
    <t>Muda o código?</t>
  </si>
  <si>
    <t>Por quê</t>
  </si>
  <si>
    <t>Alternativa considerada</t>
  </si>
  <si>
    <t>Hospedagem do site, do painel e dos jobs</t>
  </si>
  <si>
    <t>Railway</t>
  </si>
  <si>
    <t>Hobby</t>
  </si>
  <si>
    <t>US$ 5/mês com US$ 5 de uso; o excedente é por uso</t>
  </si>
  <si>
    <t>Não (já configurado)</t>
  </si>
  <si>
    <t>Deploy por branch, HTTPS e cron sem administrar servidor</t>
  </si>
  <si>
    <t>VPS própria (Hetzner, ~€ 5,49/mês): custo parecido e a clínica passa a cuidar do servidor</t>
  </si>
  <si>
    <t>Banco de dados</t>
  </si>
  <si>
    <t>PostgreSQL 18 no Railway</t>
  </si>
  <si>
    <t>Incluído no uso</t>
  </si>
  <si>
    <t>Entra no uso do Railway</t>
  </si>
  <si>
    <t>Não</t>
  </si>
  <si>
    <t>Na mesma rede do app, com volume próprio</t>
  </si>
  <si>
    <t>Neon grátis: banco fora da rede do app e demora para acordar</t>
  </si>
  <si>
    <t>Domínio e DNS</t>
  </si>
  <si>
    <t>Registro.br</t>
  </si>
  <si>
    <t>Anual</t>
  </si>
  <si>
    <t>R$ 40/ano; DNS sem custo</t>
  </si>
  <si>
    <t>Domínio .com.br com DNS incluído</t>
  </si>
  <si>
    <t>Outros registradores: mesmo .com.br, mais caro</t>
  </si>
  <si>
    <t>Código de acesso da cliente (OTP)</t>
  </si>
  <si>
    <t>SMS pré-pago (SMSGo)</t>
  </si>
  <si>
    <t>Créditos que não expiram</t>
  </si>
  <si>
    <t>R$ 0,12 por SMS no menor pacote</t>
  </si>
  <si>
    <t>Sim: adaptador em utils/sms</t>
  </si>
  <si>
    <t>Com pouco volume, o pacote mínimo da Zenvia (R$ 100/mês) fica quase todo sem uso</t>
  </si>
  <si>
    <t>Código pelo WhatsApp (R$ 0,035): mais barato, mas exige template de autenticação e reserva por SMS</t>
  </si>
  <si>
    <t>Lembrete D-1, NPS e aviso de vaga</t>
  </si>
  <si>
    <t>WhatsApp Cloud API (Meta, direto)</t>
  </si>
  <si>
    <t>Por mensagem</t>
  </si>
  <si>
    <t>R$ 0,035 por mensagem de utilidade</t>
  </si>
  <si>
    <t>Sem intermediário: pela Zenvia o mesmo template custa R$ 0,47 a R$ 0,55</t>
  </si>
  <si>
    <t>Lembrete só por e-mail: grátis, mas evita menos faltas</t>
  </si>
  <si>
    <t>E-mail (transacional e campanhas)</t>
  </si>
  <si>
    <t>Brevo</t>
  </si>
  <si>
    <t>Free</t>
  </si>
  <si>
    <t>300 e-mails por dia sem custo</t>
  </si>
  <si>
    <t>Não (configuração do anymail)</t>
  </si>
  <si>
    <t>A campanha para até ~300 clientes sai num dia só, sem mudar código</t>
  </si>
  <si>
    <t>Resend Free (100/dia) com campanha em lotes (exige código) ou Resend Pro (US$ 20/mês)</t>
  </si>
  <si>
    <t>Backup do banco</t>
  </si>
  <si>
    <t>Cloudflare R2</t>
  </si>
  <si>
    <t>Gratuito até 10 GB</t>
  </si>
  <si>
    <t>R$ 0</t>
  </si>
  <si>
    <t>Os dumps cifrados da clínica cabem na cota gratuita</t>
  </si>
  <si>
    <t>-</t>
  </si>
  <si>
    <t>Erros da aplicação</t>
  </si>
  <si>
    <t>Sentry</t>
  </si>
  <si>
    <t>Developer</t>
  </si>
  <si>
    <t>R$ 0 (5 mil erros/mês)</t>
  </si>
  <si>
    <t>Alerta de erro com filtro de dado pessoal já configurado</t>
  </si>
  <si>
    <t>Monitor dos jobs</t>
  </si>
  <si>
    <t>healthchecks.io</t>
  </si>
  <si>
    <t>Hobbyist</t>
  </si>
  <si>
    <t>R$ 0 (20 checks)</t>
  </si>
  <si>
    <t>Avisa se uma rotina parar de rodar</t>
  </si>
  <si>
    <t>Antirrobô nos formulários</t>
  </si>
  <si>
    <t>Cloudflare Turnstile</t>
  </si>
  <si>
    <t>Gratuito</t>
  </si>
  <si>
    <t>Protege o envio de SMS contra robô</t>
  </si>
  <si>
    <t>Avisos à equipe</t>
  </si>
  <si>
    <t>Web Push (VAPID)</t>
  </si>
  <si>
    <t>Notificação no celular sem SMS nem WhatsApp</t>
  </si>
  <si>
    <t>Premissas da planilha de custos</t>
  </si>
  <si>
    <t>Células em azul são entradas: troque o valor e as outras abas recalculam. Preços de lista consultados em 30/10/2026.</t>
  </si>
  <si>
    <t>Câmbio</t>
  </si>
  <si>
    <t>Valor</t>
  </si>
  <si>
    <t>Fonte</t>
  </si>
  <si>
    <t>Dólar comercial (R$)</t>
  </si>
  <si>
    <t>PTAX de 16/10/2026 (R$ 5,08), arredondada para cima</t>
  </si>
  <si>
    <t>IOF em compra internacional no cartão</t>
  </si>
  <si>
    <t>Alíquota de 3,5% em vigor desde 2025</t>
  </si>
  <si>
    <t>Dólar efetivo (R$)</t>
  </si>
  <si>
    <t>Usado em toda conversão de dólar</t>
  </si>
  <si>
    <t>Muito pequena</t>
  </si>
  <si>
    <t>Pequena</t>
  </si>
  <si>
    <t>Média</t>
  </si>
  <si>
    <t>Estimativa para a clínica</t>
  </si>
  <si>
    <t>Clientes que aceitam e-mail de marketing</t>
  </si>
  <si>
    <t>Estimativa da base com consentimento</t>
  </si>
  <si>
    <t>Uso do Railway, produção (US$/mês)</t>
  </si>
  <si>
    <t>Estimativa de consumo (docs/CUSTOS-OPERACIONAIS.md, seção 3)</t>
  </si>
  <si>
    <t>Uso do Railway, ambiente de testes (US$/mês)</t>
  </si>
  <si>
    <t>Estimativa com o modo Serverless (dorme sem tráfego)</t>
  </si>
  <si>
    <t>Mensagens por atendimento</t>
  </si>
  <si>
    <t>Quantidade</t>
  </si>
  <si>
    <t>Código de acesso (OTP)</t>
  </si>
  <si>
    <t>Um código por pedido online ou acesso à área da cliente</t>
  </si>
  <si>
    <t>Lembrete D-1 (~0,8) + NPS no máximo a cada 90 dias (~0,4) + aviso de vaga (~0,05)</t>
  </si>
  <si>
    <t>Códigos pelo SMS de reserva (variação com WhatsApp)</t>
  </si>
  <si>
    <t>Estimativa: quem não tem WhatsApp</t>
  </si>
  <si>
    <t>Preço</t>
  </si>
  <si>
    <t>Unidade</t>
  </si>
  <si>
    <t>Railway Hobby, mensalidade</t>
  </si>
  <si>
    <t>US$/mês</t>
  </si>
  <si>
    <t>railway.com/pricing</t>
  </si>
  <si>
    <t>Railway Hobby, uso incluído na mensalidade</t>
  </si>
  <si>
    <t>Domínio .com.br</t>
  </si>
  <si>
    <t>R$/ano</t>
  </si>
  <si>
    <t>Registro.br (via nuvemshop.com.br/blog/registro-br)</t>
  </si>
  <si>
    <t>Zenvia, pacote mínimo de SMS</t>
  </si>
  <si>
    <t>R$/mês</t>
  </si>
  <si>
    <t>zenvia.com/zoe (até 1.000 SMS)</t>
  </si>
  <si>
    <t>Zenvia, preço por SMS no pacote mínimo</t>
  </si>
  <si>
    <t>R$</t>
  </si>
  <si>
    <t>zenvia.com/zoe</t>
  </si>
  <si>
    <t>SMS pré-pago sem mensalidade (SMSGo, menor pacote)</t>
  </si>
  <si>
    <t>smsgo.com.br (créditos não expiram)</t>
  </si>
  <si>
    <t>WhatsApp, mensagem de utilidade</t>
  </si>
  <si>
    <t>Meta, tabela do Brasil desde 01/10/2026 (via zynfo.ai)</t>
  </si>
  <si>
    <t>WhatsApp, mensagem de autenticação</t>
  </si>
  <si>
    <t>Meta, mesma tarifa da utilidade (via authgear.com)</t>
  </si>
  <si>
    <t>Resend Free, limite diário</t>
  </si>
  <si>
    <t>e-mails/dia</t>
  </si>
  <si>
    <t>resend.com/pricing</t>
  </si>
  <si>
    <t>Resend Pro</t>
  </si>
  <si>
    <t>Brevo Free, limite diário</t>
  </si>
  <si>
    <t>Resenha de terceiro (sender.net); confirmar em brevo.com</t>
  </si>
  <si>
    <t>Brevo Starter</t>
  </si>
  <si>
    <t>Backup (R2), Sentry, healthchecks, Turnstile e push</t>
  </si>
  <si>
    <t>Planos gratuitos</t>
  </si>
  <si>
    <t>Custos de implantação (uma vez)</t>
  </si>
  <si>
    <t>Item</t>
  </si>
  <si>
    <t>Preço unitário (R$)</t>
  </si>
  <si>
    <t>Valor (R$)</t>
  </si>
  <si>
    <t>Observação</t>
  </si>
  <si>
    <t>Domínio .com.br (1º ano)</t>
  </si>
  <si>
    <t>Pago à vista; no custo mensal aparece dividido por 12</t>
  </si>
  <si>
    <t>Chip pré-pago para o número do WhatsApp da API</t>
  </si>
  <si>
    <t>Estimativa. O número não pode estar em uso no aplicativo WhatsApp comum</t>
  </si>
  <si>
    <t>Primeiro crédito de SMS pré-pago</t>
  </si>
  <si>
    <t>Verificação do negócio na Meta</t>
  </si>
  <si>
    <t>Sem custo; exige CNPJ</t>
  </si>
  <si>
    <t>Contas no Railway, Brevo, Cloudflare, Sentry e healthchecks</t>
  </si>
  <si>
    <t>Sem custo; o Railway pede cartão</t>
  </si>
  <si>
    <t>Total</t>
  </si>
  <si>
    <t>Fontes</t>
  </si>
  <si>
    <t>Endereço</t>
  </si>
  <si>
    <t>Consultado em</t>
  </si>
  <si>
    <t>Railway: planos e tarifas</t>
  </si>
  <si>
    <t>https://railway.com/pricing</t>
  </si>
  <si>
    <t>30/10/2026</t>
  </si>
  <si>
    <t>Railway: modo Serverless</t>
  </si>
  <si>
    <t>Railway Docs</t>
  </si>
  <si>
    <t>https://docs.railway.com/reference/app-sleeping</t>
  </si>
  <si>
    <t>WhatsApp: modelo de cobrança</t>
  </si>
  <si>
    <t>Meta for Developers</t>
  </si>
  <si>
    <t>https://developers.facebook.com/docs/whatsapp/pricing</t>
  </si>
  <si>
    <t>WhatsApp: tarifas do Brasil (01/10/2026)</t>
  </si>
  <si>
    <t>Tabela da Meta reproduzida por terceiro</t>
  </si>
  <si>
    <t>https://zynfo.ai/whatsapp-pricing/brazil</t>
  </si>
  <si>
    <t>WhatsApp: tarifa de autenticação</t>
  </si>
  <si>
    <t>Terceiro</t>
  </si>
  <si>
    <t>https://www.authgear.com/post/whatsapp-api-pricing</t>
  </si>
  <si>
    <t>Zenvia: pacotes de SMS</t>
  </si>
  <si>
    <t>Zenvia</t>
  </si>
  <si>
    <t>https://zenvia.com/zoe/</t>
  </si>
  <si>
    <t>SMSGo</t>
  </si>
  <si>
    <t>https://smsgo.com.br/</t>
  </si>
  <si>
    <t>SMS para OTP no Brasil: comparativo</t>
  </si>
  <si>
    <t>https://x-apps.com.br/sms-verificacao-otp-brasil-provedores-precos/</t>
  </si>
  <si>
    <t>Resend: planos</t>
  </si>
  <si>
    <t>Resend</t>
  </si>
  <si>
    <t>https://resend.com/pricing</t>
  </si>
  <si>
    <t>Brevo: plano gratuito e Starter</t>
  </si>
  <si>
    <t>Resenha de terceiro</t>
  </si>
  <si>
    <t>https://www.sender.net/reviews/brevo/pricing/free-plan</t>
  </si>
  <si>
    <t>https://www.nuvemshop.com.br/blog/registro-br</t>
  </si>
  <si>
    <t>Sentry: plano Developer</t>
  </si>
  <si>
    <t>https://costbench.com/software/developer-tools/sentry/free-plan/</t>
  </si>
  <si>
    <t>healthchecks.io: planos</t>
  </si>
  <si>
    <t>https://healthchecks.io/pricing/</t>
  </si>
  <si>
    <t>Cloudflare R2: cota gratuita</t>
  </si>
  <si>
    <t>Cloudflare Docs</t>
  </si>
  <si>
    <t>https://developers.cloudflare.com/r2/pricing</t>
  </si>
  <si>
    <t>Câmbio: PTAX de 16/10/2026</t>
  </si>
  <si>
    <t>https://www.simianx.ai/pt/stories/us-dollar-exchange-rate-by-year-every-year-1971-2026-table</t>
  </si>
  <si>
    <t>Câmbio: cotação oficial</t>
  </si>
  <si>
    <t>Banco Central</t>
  </si>
  <si>
    <t>https://www.bcb.gov.br/estabilidadefinanceira/historicocotacoes</t>
  </si>
  <si>
    <t>Premissas de volume e consumo</t>
  </si>
  <si>
    <t>Projeto</t>
  </si>
  <si>
    <t>docs/CUSTOS-OPERACIONAIS.md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</si>
</sst>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R$&quot;\ #,##0.00;\(&quot;R$&quot;\ #,##0.00\);&quot;-&quot;"/>
    <numFmt numFmtId="165" formatCode="0.0%;\(0.0%\);&quot;-&quot;"/>
    <numFmt numFmtId="166" formatCode="&quot;R$&quot;\ #,##0.0000"/>
    <numFmt numFmtId="167" formatCode="&quot;US$&quot;\ #,##0.00;\(&quot;US$&quot;\ #,##0.00\);&quot;-&quot;"/>
    <numFmt numFmtId="168" formatCode="&quot;R$&quot;\ #,##0.000"/>
  </numFmts>
  <fonts count="10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name val="Arial"/>
    </font>
    <font>
      <b/>
      <sz val="10"/>
      <name val="Arial"/>
    </font>
    <font>
      <b/>
      <sz val="10"/>
      <color rgb="FFFFFFFF"/>
      <name val="Arial"/>
    </font>
    <font>
      <sz val="10"/>
      <color rgb="FF008000"/>
      <name val="Arial"/>
    </font>
    <font>
      <b/>
      <sz val="10"/>
      <color rgb="FF008000"/>
      <name val="Arial"/>
    </font>
    <font>
      <i/>
      <sz val="10"/>
      <name val="Arial"/>
    </font>
    <font>
      <sz val="10"/>
      <color rgb="FF0000FF"/>
      <name val="Arial"/>
    </font>
    <font>
      <b/>
      <sz val="11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1F1A14"/>
      </patternFill>
    </fill>
    <fill>
      <patternFill patternType="solid">
        <fgColor rgb="FFF1EFE8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0" borderId="1" xfId="0" applyFont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164" fontId="6" fillId="0" borderId="1" xfId="0" applyNumberFormat="1" applyFont="1" applyBorder="1"/>
    <xf numFmtId="164" fontId="1" fillId="0" borderId="1" xfId="0" applyNumberFormat="1" applyFont="1" applyBorder="1"/>
    <xf numFmtId="165" fontId="1" fillId="0" borderId="1" xfId="0" applyNumberFormat="1" applyFont="1" applyBorder="1"/>
    <xf numFmtId="0" fontId="1" fillId="0" borderId="0" xfId="0" applyFont="1"/>
    <xf numFmtId="0" fontId="7" fillId="0" borderId="0" xfId="0" applyFont="1"/>
    <xf numFmtId="0" fontId="4" fillId="2" borderId="1" xfId="0" applyFont="1" applyFill="1" applyBorder="1" applyAlignment="1">
      <alignment horizontal="right" vertical="center" wrapText="1"/>
    </xf>
    <xf numFmtId="0" fontId="1" fillId="0" borderId="1" xfId="0" applyFont="1" applyBorder="1"/>
    <xf numFmtId="0" fontId="3" fillId="3" borderId="1" xfId="0" applyFont="1" applyFill="1" applyBorder="1"/>
    <xf numFmtId="164" fontId="3" fillId="3" borderId="1" xfId="0" applyNumberFormat="1" applyFont="1" applyFill="1" applyBorder="1"/>
    <xf numFmtId="0" fontId="3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4" fontId="8" fillId="0" borderId="1" xfId="0" applyNumberFormat="1" applyFont="1" applyBorder="1"/>
    <xf numFmtId="165" fontId="8" fillId="0" borderId="1" xfId="0" applyNumberFormat="1" applyFont="1" applyBorder="1"/>
    <xf numFmtId="166" fontId="1" fillId="0" borderId="1" xfId="0" applyNumberFormat="1" applyFont="1" applyBorder="1"/>
    <xf numFmtId="3" fontId="8" fillId="0" borderId="1" xfId="0" applyNumberFormat="1" applyFont="1" applyBorder="1"/>
    <xf numFmtId="167" fontId="8" fillId="0" borderId="1" xfId="0" applyNumberFormat="1" applyFont="1" applyBorder="1"/>
    <xf numFmtId="164" fontId="8" fillId="0" borderId="1" xfId="0" applyNumberFormat="1" applyFont="1" applyBorder="1"/>
    <xf numFmtId="168" fontId="8" fillId="0" borderId="1" xfId="0" applyNumberFormat="1" applyFont="1" applyBorder="1"/>
    <xf numFmtId="3" fontId="1" fillId="0" borderId="1" xfId="0" applyNumberFormat="1" applyFont="1" applyBorder="1"/>
    <xf numFmtId="164" fontId="8" fillId="4" borderId="1" xfId="0" applyNumberFormat="1" applyFont="1" applyFill="1" applyBorder="1"/>
    <xf numFmtId="168" fontId="5" fillId="0" borderId="1" xfId="0" applyNumberFormat="1" applyFont="1" applyBorder="1"/>
    <xf numFmtId="0" fontId="9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showGridLines="0" tabSelected="1" workbookViewId="0"/>
  </sheetViews>
  <sheetFormatPr defaultRowHeight="15" x14ac:dyDescent="0.25"/>
  <cols>
    <col min="1" max="1" width="21.42578125" customWidth="1"/>
    <col min="2" max="9" width="18.5703125" customWidth="1"/>
  </cols>
  <sheetData>
    <row r="1" spans="1:9" ht="18" x14ac:dyDescent="0.25">
      <c r="A1" s="1" t="s">
        <v>0</v>
      </c>
    </row>
    <row r="2" spans="1:9" x14ac:dyDescent="0.25">
      <c r="A2" s="2" t="s">
        <v>1</v>
      </c>
    </row>
    <row r="4" spans="1:9" ht="36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spans="1:9" x14ac:dyDescent="0.25">
      <c r="A5" s="4" t="str">
        <f>Premissas!B9</f>
        <v>Muito pequena</v>
      </c>
      <c r="B5" s="5">
        <f>Premissas!B10</f>
        <v>60</v>
      </c>
      <c r="C5" s="6">
        <f>'Custo mensal'!B12</f>
        <v>142.90783333333331</v>
      </c>
      <c r="D5" s="7">
        <f>'Custo mensal'!B21</f>
        <v>50.107833333333332</v>
      </c>
      <c r="E5" s="8">
        <f>C5-D5</f>
        <v>92.799999999999983</v>
      </c>
      <c r="F5" s="9">
        <f>IF(C5=0,0,E5/C5)</f>
        <v>0.64936958202664419</v>
      </c>
      <c r="G5" s="8">
        <f>IF(B5=0,0,D5/B5)</f>
        <v>0.83513055555555549</v>
      </c>
      <c r="H5" s="8">
        <f>D5*12</f>
        <v>601.29399999999998</v>
      </c>
      <c r="I5" s="6">
        <f>'Custo mensal'!B26</f>
        <v>45.517833333333328</v>
      </c>
    </row>
    <row r="6" spans="1:9" x14ac:dyDescent="0.25">
      <c r="A6" s="4" t="str">
        <f>Premissas!C9</f>
        <v>Pequena</v>
      </c>
      <c r="B6" s="5">
        <f>Premissas!C10</f>
        <v>150</v>
      </c>
      <c r="C6" s="6">
        <f>'Custo mensal'!C12</f>
        <v>254.52673333333331</v>
      </c>
      <c r="D6" s="7">
        <f>'Custo mensal'!C21</f>
        <v>66.956733333333332</v>
      </c>
      <c r="E6" s="8">
        <f>C6-D6</f>
        <v>187.57</v>
      </c>
      <c r="F6" s="9">
        <f>IF(C6=0,0,E6/C6)</f>
        <v>0.73693634277054332</v>
      </c>
      <c r="G6" s="8">
        <f>IF(B6=0,0,D6/B6)</f>
        <v>0.44637822222222223</v>
      </c>
      <c r="H6" s="8">
        <f>D6*12</f>
        <v>803.48080000000004</v>
      </c>
      <c r="I6" s="6">
        <f>'Custo mensal'!C26</f>
        <v>55.481733333333331</v>
      </c>
    </row>
    <row r="7" spans="1:9" x14ac:dyDescent="0.25">
      <c r="A7" s="4" t="str">
        <f>Premissas!D9</f>
        <v>Média</v>
      </c>
      <c r="B7" s="5">
        <f>Premissas!D10</f>
        <v>300</v>
      </c>
      <c r="C7" s="6">
        <f>'Custo mensal'!D12</f>
        <v>266.89558333333332</v>
      </c>
      <c r="D7" s="7">
        <f>'Custo mensal'!D21</f>
        <v>144.83208333333332</v>
      </c>
      <c r="E7" s="8">
        <f>C7-D7</f>
        <v>122.0635</v>
      </c>
      <c r="F7" s="9">
        <f>IF(C7=0,0,E7/C7)</f>
        <v>0.45734552245306925</v>
      </c>
      <c r="G7" s="8">
        <f>IF(B7=0,0,D7/B7)</f>
        <v>0.48277361111111106</v>
      </c>
      <c r="H7" s="8">
        <f>D7*12</f>
        <v>1737.9849999999997</v>
      </c>
      <c r="I7" s="6">
        <f>'Custo mensal'!D26</f>
        <v>121.88208333333331</v>
      </c>
    </row>
    <row r="9" spans="1:9" x14ac:dyDescent="0.25">
      <c r="A9" s="2" t="s">
        <v>11</v>
      </c>
    </row>
    <row r="10" spans="1:9" x14ac:dyDescent="0.25">
      <c r="A10" s="10" t="s">
        <v>12</v>
      </c>
    </row>
    <row r="11" spans="1:9" x14ac:dyDescent="0.25">
      <c r="A11" s="10" t="s">
        <v>13</v>
      </c>
    </row>
    <row r="12" spans="1:9" x14ac:dyDescent="0.25">
      <c r="A12" s="10" t="s">
        <v>14</v>
      </c>
    </row>
    <row r="14" spans="1:9" x14ac:dyDescent="0.25">
      <c r="A14" s="11" t="s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showGridLines="0" workbookViewId="0"/>
  </sheetViews>
  <sheetFormatPr defaultRowHeight="15" x14ac:dyDescent="0.25"/>
  <cols>
    <col min="1" max="1" width="61.42578125" customWidth="1"/>
    <col min="2" max="4" width="18.5703125" customWidth="1"/>
  </cols>
  <sheetData>
    <row r="1" spans="1:4" ht="18" x14ac:dyDescent="0.25">
      <c r="A1" s="1" t="s">
        <v>16</v>
      </c>
    </row>
    <row r="2" spans="1:4" x14ac:dyDescent="0.25">
      <c r="A2" s="11" t="s">
        <v>17</v>
      </c>
    </row>
    <row r="4" spans="1:4" x14ac:dyDescent="0.25">
      <c r="A4" s="3" t="s">
        <v>18</v>
      </c>
      <c r="B4" s="12" t="str">
        <f>Premissas!B9</f>
        <v>Muito pequena</v>
      </c>
      <c r="C4" s="12" t="str">
        <f>Premissas!C9</f>
        <v>Pequena</v>
      </c>
      <c r="D4" s="12" t="str">
        <f>Premissas!D9</f>
        <v>Média</v>
      </c>
    </row>
    <row r="5" spans="1:4" x14ac:dyDescent="0.25">
      <c r="A5" s="13" t="s">
        <v>3</v>
      </c>
      <c r="B5" s="5">
        <f>Premissas!B10</f>
        <v>60</v>
      </c>
      <c r="C5" s="5">
        <f>Premissas!C10</f>
        <v>150</v>
      </c>
      <c r="D5" s="5">
        <f>Premissas!D10</f>
        <v>300</v>
      </c>
    </row>
    <row r="6" spans="1:4" x14ac:dyDescent="0.25">
      <c r="A6" s="13" t="s">
        <v>19</v>
      </c>
      <c r="B6" s="8">
        <f>(Premissas!$B$21+MAX(0,Premissas!B12+Premissas!B13-Premissas!$B$22))*Premissas!$B$7</f>
        <v>36.949499999999993</v>
      </c>
      <c r="C6" s="8">
        <f>(Premissas!$B$21+MAX(0,Premissas!C12+Premissas!C13-Premissas!$B$22))*Premissas!$B$7</f>
        <v>39.060899999999997</v>
      </c>
      <c r="D6" s="8">
        <f>(Premissas!$B$21+MAX(0,Premissas!D12+Premissas!D13-Premissas!$B$22))*Premissas!$B$7</f>
        <v>44.867249999999991</v>
      </c>
    </row>
    <row r="7" spans="1:4" x14ac:dyDescent="0.25">
      <c r="A7" s="13" t="s">
        <v>20</v>
      </c>
      <c r="B7" s="8">
        <f>Premissas!$B$23/12</f>
        <v>3.3333333333333335</v>
      </c>
      <c r="C7" s="8">
        <f>Premissas!$B$23/12</f>
        <v>3.3333333333333335</v>
      </c>
      <c r="D7" s="8">
        <f>Premissas!$B$23/12</f>
        <v>3.3333333333333335</v>
      </c>
    </row>
    <row r="8" spans="1:4" x14ac:dyDescent="0.25">
      <c r="A8" s="13" t="s">
        <v>21</v>
      </c>
      <c r="B8" s="8">
        <f>MAX(Premissas!$B$24,Premissas!B10*Premissas!$B$16*Premissas!$B$25)</f>
        <v>100</v>
      </c>
      <c r="C8" s="8">
        <f>MAX(Premissas!$B$24,Premissas!C10*Premissas!$B$16*Premissas!$B$25)</f>
        <v>100</v>
      </c>
      <c r="D8" s="8">
        <f>MAX(Premissas!$B$24,Premissas!D10*Premissas!$B$16*Premissas!$B$25)</f>
        <v>100</v>
      </c>
    </row>
    <row r="9" spans="1:4" x14ac:dyDescent="0.25">
      <c r="A9" s="13" t="s">
        <v>22</v>
      </c>
      <c r="B9" s="8">
        <f>Premissas!B10*Premissas!$B$17*Premissas!$B$27</f>
        <v>2.6250000000000004</v>
      </c>
      <c r="C9" s="8">
        <f>Premissas!C10*Premissas!$B$17*Premissas!$B$27</f>
        <v>6.5625000000000009</v>
      </c>
      <c r="D9" s="8">
        <f>Premissas!D10*Premissas!$B$17*Premissas!$B$27</f>
        <v>13.125000000000002</v>
      </c>
    </row>
    <row r="10" spans="1:4" x14ac:dyDescent="0.25">
      <c r="A10" s="13" t="s">
        <v>23</v>
      </c>
      <c r="B10" s="8">
        <f>IF(Premissas!B11&gt;Premissas!$B$29,Premissas!$B$30*Premissas!$B$7,0)</f>
        <v>0</v>
      </c>
      <c r="C10" s="8">
        <f>IF(Premissas!C11&gt;Premissas!$B$29,Premissas!$B$30*Premissas!$B$7,0)</f>
        <v>105.57</v>
      </c>
      <c r="D10" s="8">
        <f>IF(Premissas!D11&gt;Premissas!$B$29,Premissas!$B$30*Premissas!$B$7,0)</f>
        <v>105.57</v>
      </c>
    </row>
    <row r="11" spans="1:4" x14ac:dyDescent="0.25">
      <c r="A11" s="13" t="s">
        <v>24</v>
      </c>
      <c r="B11" s="6">
        <f>Premissas!$B$33</f>
        <v>0</v>
      </c>
      <c r="C11" s="6">
        <f>Premissas!$B$33</f>
        <v>0</v>
      </c>
      <c r="D11" s="6">
        <f>Premissas!$B$33</f>
        <v>0</v>
      </c>
    </row>
    <row r="12" spans="1:4" x14ac:dyDescent="0.25">
      <c r="A12" s="14" t="s">
        <v>25</v>
      </c>
      <c r="B12" s="15">
        <f>SUM(B6:B11)</f>
        <v>142.90783333333331</v>
      </c>
      <c r="C12" s="15">
        <f>SUM(C6:C11)</f>
        <v>254.52673333333331</v>
      </c>
      <c r="D12" s="15">
        <f>SUM(D6:D11)</f>
        <v>266.89558333333332</v>
      </c>
    </row>
    <row r="14" spans="1:4" x14ac:dyDescent="0.25">
      <c r="A14" s="3" t="s">
        <v>26</v>
      </c>
      <c r="B14" s="12" t="str">
        <f>Premissas!B9</f>
        <v>Muito pequena</v>
      </c>
      <c r="C14" s="12" t="str">
        <f>Premissas!C9</f>
        <v>Pequena</v>
      </c>
      <c r="D14" s="12" t="str">
        <f>Premissas!D9</f>
        <v>Média</v>
      </c>
    </row>
    <row r="15" spans="1:4" x14ac:dyDescent="0.25">
      <c r="A15" s="13" t="s">
        <v>19</v>
      </c>
      <c r="B15" s="8">
        <f t="shared" ref="B15:D16" si="0">B6</f>
        <v>36.949499999999993</v>
      </c>
      <c r="C15" s="8">
        <f t="shared" si="0"/>
        <v>39.060899999999997</v>
      </c>
      <c r="D15" s="8">
        <f t="shared" si="0"/>
        <v>44.867249999999991</v>
      </c>
    </row>
    <row r="16" spans="1:4" x14ac:dyDescent="0.25">
      <c r="A16" s="13" t="s">
        <v>20</v>
      </c>
      <c r="B16" s="8">
        <f t="shared" si="0"/>
        <v>3.3333333333333335</v>
      </c>
      <c r="C16" s="8">
        <f t="shared" si="0"/>
        <v>3.3333333333333335</v>
      </c>
      <c r="D16" s="8">
        <f t="shared" si="0"/>
        <v>3.3333333333333335</v>
      </c>
    </row>
    <row r="17" spans="1:4" x14ac:dyDescent="0.25">
      <c r="A17" s="13" t="s">
        <v>27</v>
      </c>
      <c r="B17" s="8">
        <f>Premissas!B10*Premissas!$B$16*Premissas!$B$26</f>
        <v>7.1999999999999993</v>
      </c>
      <c r="C17" s="8">
        <f>Premissas!C10*Premissas!$B$16*Premissas!$B$26</f>
        <v>18</v>
      </c>
      <c r="D17" s="8">
        <f>Premissas!D10*Premissas!$B$16*Premissas!$B$26</f>
        <v>36</v>
      </c>
    </row>
    <row r="18" spans="1:4" x14ac:dyDescent="0.25">
      <c r="A18" s="13" t="s">
        <v>22</v>
      </c>
      <c r="B18" s="8">
        <f>B9</f>
        <v>2.6250000000000004</v>
      </c>
      <c r="C18" s="8">
        <f>C9</f>
        <v>6.5625000000000009</v>
      </c>
      <c r="D18" s="8">
        <f>D9</f>
        <v>13.125000000000002</v>
      </c>
    </row>
    <row r="19" spans="1:4" x14ac:dyDescent="0.25">
      <c r="A19" s="13" t="s">
        <v>28</v>
      </c>
      <c r="B19" s="8">
        <f>IF(Premissas!B11&gt;Premissas!$B$31,Premissas!$B$32*Premissas!$B$7,0)</f>
        <v>0</v>
      </c>
      <c r="C19" s="8">
        <f>IF(Premissas!C11&gt;Premissas!$B$31,Premissas!$B$32*Premissas!$B$7,0)</f>
        <v>0</v>
      </c>
      <c r="D19" s="8">
        <f>IF(Premissas!D11&gt;Premissas!$B$31,Premissas!$B$32*Premissas!$B$7,0)</f>
        <v>47.506499999999996</v>
      </c>
    </row>
    <row r="20" spans="1:4" x14ac:dyDescent="0.25">
      <c r="A20" s="13" t="s">
        <v>24</v>
      </c>
      <c r="B20" s="6">
        <f>Premissas!$B$33</f>
        <v>0</v>
      </c>
      <c r="C20" s="6">
        <f>Premissas!$B$33</f>
        <v>0</v>
      </c>
      <c r="D20" s="6">
        <f>Premissas!$B$33</f>
        <v>0</v>
      </c>
    </row>
    <row r="21" spans="1:4" x14ac:dyDescent="0.25">
      <c r="A21" s="14" t="s">
        <v>29</v>
      </c>
      <c r="B21" s="15">
        <f>SUM(B15:B20)</f>
        <v>50.107833333333332</v>
      </c>
      <c r="C21" s="15">
        <f>SUM(C15:C20)</f>
        <v>66.956733333333332</v>
      </c>
      <c r="D21" s="15">
        <f>SUM(D15:D20)</f>
        <v>144.83208333333332</v>
      </c>
    </row>
    <row r="23" spans="1:4" x14ac:dyDescent="0.25">
      <c r="A23" s="3" t="s">
        <v>30</v>
      </c>
      <c r="B23" s="12" t="str">
        <f>Premissas!B9</f>
        <v>Muito pequena</v>
      </c>
      <c r="C23" s="12" t="str">
        <f>Premissas!C9</f>
        <v>Pequena</v>
      </c>
      <c r="D23" s="12" t="str">
        <f>Premissas!D9</f>
        <v>Média</v>
      </c>
    </row>
    <row r="24" spans="1:4" x14ac:dyDescent="0.25">
      <c r="A24" s="13" t="s">
        <v>31</v>
      </c>
      <c r="B24" s="8">
        <f>Premissas!B10*Premissas!$B$16*(1-Premissas!$B$18)*Premissas!$B$28</f>
        <v>1.8900000000000001</v>
      </c>
      <c r="C24" s="8">
        <f>Premissas!C10*Premissas!$B$16*(1-Premissas!$B$18)*Premissas!$B$28</f>
        <v>4.7250000000000005</v>
      </c>
      <c r="D24" s="8">
        <f>Premissas!D10*Premissas!$B$16*(1-Premissas!$B$18)*Premissas!$B$28</f>
        <v>9.4500000000000011</v>
      </c>
    </row>
    <row r="25" spans="1:4" x14ac:dyDescent="0.25">
      <c r="A25" s="13" t="s">
        <v>32</v>
      </c>
      <c r="B25" s="8">
        <f>Premissas!B10*Premissas!$B$16*Premissas!$B$18*Premissas!$B$26</f>
        <v>0.72</v>
      </c>
      <c r="C25" s="8">
        <f>Premissas!C10*Premissas!$B$16*Premissas!$B$18*Premissas!$B$26</f>
        <v>1.7999999999999998</v>
      </c>
      <c r="D25" s="8">
        <f>Premissas!D10*Premissas!$B$16*Premissas!$B$18*Premissas!$B$26</f>
        <v>3.5999999999999996</v>
      </c>
    </row>
    <row r="26" spans="1:4" x14ac:dyDescent="0.25">
      <c r="A26" s="14" t="s">
        <v>33</v>
      </c>
      <c r="B26" s="15">
        <f>B21-B17+B24+B25</f>
        <v>45.517833333333328</v>
      </c>
      <c r="C26" s="15">
        <f>C21-C17+C24+C25</f>
        <v>55.481733333333331</v>
      </c>
      <c r="D26" s="15">
        <f>D21-D17+D24+D25</f>
        <v>121.88208333333331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5"/>
  <sheetViews>
    <sheetView showGridLines="0" workbookViewId="0"/>
  </sheetViews>
  <sheetFormatPr defaultRowHeight="15" x14ac:dyDescent="0.25"/>
  <cols>
    <col min="1" max="1" width="27.140625" customWidth="1"/>
    <col min="2" max="2" width="24.28515625" customWidth="1"/>
    <col min="3" max="3" width="18.5703125" customWidth="1"/>
    <col min="4" max="4" width="27.140625" customWidth="1"/>
    <col min="5" max="5" width="21.42578125" customWidth="1"/>
    <col min="6" max="6" width="41.42578125" customWidth="1"/>
    <col min="7" max="7" width="42.85546875" customWidth="1"/>
  </cols>
  <sheetData>
    <row r="1" spans="1:7" ht="18" x14ac:dyDescent="0.25">
      <c r="A1" s="1" t="s">
        <v>34</v>
      </c>
    </row>
    <row r="2" spans="1:7" x14ac:dyDescent="0.25">
      <c r="A2" s="11" t="s">
        <v>35</v>
      </c>
    </row>
    <row r="4" spans="1:7" x14ac:dyDescent="0.25">
      <c r="A4" s="3" t="s">
        <v>36</v>
      </c>
      <c r="B4" s="3" t="s">
        <v>37</v>
      </c>
      <c r="C4" s="3" t="s">
        <v>38</v>
      </c>
      <c r="D4" s="3" t="s">
        <v>39</v>
      </c>
      <c r="E4" s="3" t="s">
        <v>40</v>
      </c>
      <c r="F4" s="3" t="s">
        <v>41</v>
      </c>
      <c r="G4" s="3" t="s">
        <v>42</v>
      </c>
    </row>
    <row r="5" spans="1:7" ht="25.5" x14ac:dyDescent="0.25">
      <c r="A5" s="16" t="s">
        <v>43</v>
      </c>
      <c r="B5" s="17" t="s">
        <v>44</v>
      </c>
      <c r="C5" s="17" t="s">
        <v>45</v>
      </c>
      <c r="D5" s="17" t="s">
        <v>46</v>
      </c>
      <c r="E5" s="17" t="s">
        <v>47</v>
      </c>
      <c r="F5" s="17" t="s">
        <v>48</v>
      </c>
      <c r="G5" s="17" t="s">
        <v>49</v>
      </c>
    </row>
    <row r="6" spans="1:7" ht="25.5" x14ac:dyDescent="0.25">
      <c r="A6" s="16" t="s">
        <v>50</v>
      </c>
      <c r="B6" s="17" t="s">
        <v>51</v>
      </c>
      <c r="C6" s="17" t="s">
        <v>52</v>
      </c>
      <c r="D6" s="17" t="s">
        <v>53</v>
      </c>
      <c r="E6" s="17" t="s">
        <v>54</v>
      </c>
      <c r="F6" s="17" t="s">
        <v>55</v>
      </c>
      <c r="G6" s="17" t="s">
        <v>56</v>
      </c>
    </row>
    <row r="7" spans="1:7" x14ac:dyDescent="0.25">
      <c r="A7" s="16" t="s">
        <v>57</v>
      </c>
      <c r="B7" s="17" t="s">
        <v>58</v>
      </c>
      <c r="C7" s="17" t="s">
        <v>59</v>
      </c>
      <c r="D7" s="17" t="s">
        <v>60</v>
      </c>
      <c r="E7" s="17" t="s">
        <v>54</v>
      </c>
      <c r="F7" s="17" t="s">
        <v>61</v>
      </c>
      <c r="G7" s="17" t="s">
        <v>62</v>
      </c>
    </row>
    <row r="8" spans="1:7" ht="38.25" x14ac:dyDescent="0.25">
      <c r="A8" s="16" t="s">
        <v>63</v>
      </c>
      <c r="B8" s="17" t="s">
        <v>64</v>
      </c>
      <c r="C8" s="17" t="s">
        <v>65</v>
      </c>
      <c r="D8" s="17" t="s">
        <v>66</v>
      </c>
      <c r="E8" s="17" t="s">
        <v>67</v>
      </c>
      <c r="F8" s="17" t="s">
        <v>68</v>
      </c>
      <c r="G8" s="17" t="s">
        <v>69</v>
      </c>
    </row>
    <row r="9" spans="1:7" ht="25.5" x14ac:dyDescent="0.25">
      <c r="A9" s="16" t="s">
        <v>70</v>
      </c>
      <c r="B9" s="17" t="s">
        <v>71</v>
      </c>
      <c r="C9" s="17" t="s">
        <v>72</v>
      </c>
      <c r="D9" s="17" t="s">
        <v>73</v>
      </c>
      <c r="E9" s="17" t="s">
        <v>54</v>
      </c>
      <c r="F9" s="17" t="s">
        <v>74</v>
      </c>
      <c r="G9" s="17" t="s">
        <v>75</v>
      </c>
    </row>
    <row r="10" spans="1:7" ht="25.5" x14ac:dyDescent="0.25">
      <c r="A10" s="16" t="s">
        <v>76</v>
      </c>
      <c r="B10" s="17" t="s">
        <v>77</v>
      </c>
      <c r="C10" s="17" t="s">
        <v>78</v>
      </c>
      <c r="D10" s="17" t="s">
        <v>79</v>
      </c>
      <c r="E10" s="17" t="s">
        <v>80</v>
      </c>
      <c r="F10" s="17" t="s">
        <v>81</v>
      </c>
      <c r="G10" s="17" t="s">
        <v>82</v>
      </c>
    </row>
    <row r="11" spans="1:7" ht="25.5" x14ac:dyDescent="0.25">
      <c r="A11" s="16" t="s">
        <v>83</v>
      </c>
      <c r="B11" s="17" t="s">
        <v>84</v>
      </c>
      <c r="C11" s="17" t="s">
        <v>85</v>
      </c>
      <c r="D11" s="17" t="s">
        <v>86</v>
      </c>
      <c r="E11" s="17" t="s">
        <v>54</v>
      </c>
      <c r="F11" s="17" t="s">
        <v>87</v>
      </c>
      <c r="G11" s="17" t="s">
        <v>88</v>
      </c>
    </row>
    <row r="12" spans="1:7" ht="25.5" x14ac:dyDescent="0.25">
      <c r="A12" s="16" t="s">
        <v>89</v>
      </c>
      <c r="B12" s="17" t="s">
        <v>90</v>
      </c>
      <c r="C12" s="17" t="s">
        <v>91</v>
      </c>
      <c r="D12" s="17" t="s">
        <v>92</v>
      </c>
      <c r="E12" s="17" t="s">
        <v>54</v>
      </c>
      <c r="F12" s="17" t="s">
        <v>93</v>
      </c>
      <c r="G12" s="17" t="s">
        <v>88</v>
      </c>
    </row>
    <row r="13" spans="1:7" x14ac:dyDescent="0.25">
      <c r="A13" s="16" t="s">
        <v>94</v>
      </c>
      <c r="B13" s="17" t="s">
        <v>95</v>
      </c>
      <c r="C13" s="17" t="s">
        <v>96</v>
      </c>
      <c r="D13" s="17" t="s">
        <v>97</v>
      </c>
      <c r="E13" s="17" t="s">
        <v>54</v>
      </c>
      <c r="F13" s="17" t="s">
        <v>98</v>
      </c>
      <c r="G13" s="17" t="s">
        <v>88</v>
      </c>
    </row>
    <row r="14" spans="1:7" x14ac:dyDescent="0.25">
      <c r="A14" s="16" t="s">
        <v>99</v>
      </c>
      <c r="B14" s="17" t="s">
        <v>100</v>
      </c>
      <c r="C14" s="17" t="s">
        <v>101</v>
      </c>
      <c r="D14" s="17" t="s">
        <v>86</v>
      </c>
      <c r="E14" s="17" t="s">
        <v>54</v>
      </c>
      <c r="F14" s="17" t="s">
        <v>102</v>
      </c>
      <c r="G14" s="17" t="s">
        <v>88</v>
      </c>
    </row>
    <row r="15" spans="1:7" ht="25.5" x14ac:dyDescent="0.25">
      <c r="A15" s="16" t="s">
        <v>103</v>
      </c>
      <c r="B15" s="17" t="s">
        <v>104</v>
      </c>
      <c r="C15" s="17" t="s">
        <v>101</v>
      </c>
      <c r="D15" s="17" t="s">
        <v>86</v>
      </c>
      <c r="E15" s="17" t="s">
        <v>54</v>
      </c>
      <c r="F15" s="17" t="s">
        <v>105</v>
      </c>
      <c r="G15" s="17" t="s">
        <v>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3"/>
  <sheetViews>
    <sheetView showGridLines="0" workbookViewId="0"/>
  </sheetViews>
  <sheetFormatPr defaultRowHeight="15" x14ac:dyDescent="0.25"/>
  <cols>
    <col min="1" max="1" width="61.42578125" customWidth="1"/>
    <col min="2" max="4" width="15.7109375" customWidth="1"/>
    <col min="5" max="5" width="47.140625" customWidth="1"/>
  </cols>
  <sheetData>
    <row r="1" spans="1:5" ht="18" x14ac:dyDescent="0.25">
      <c r="A1" s="1" t="s">
        <v>106</v>
      </c>
    </row>
    <row r="2" spans="1:5" x14ac:dyDescent="0.25">
      <c r="A2" s="11" t="s">
        <v>107</v>
      </c>
    </row>
    <row r="4" spans="1:5" x14ac:dyDescent="0.25">
      <c r="A4" s="3" t="s">
        <v>108</v>
      </c>
      <c r="B4" s="3" t="s">
        <v>109</v>
      </c>
      <c r="C4" s="3" t="s">
        <v>110</v>
      </c>
    </row>
    <row r="5" spans="1:5" x14ac:dyDescent="0.25">
      <c r="A5" s="13" t="s">
        <v>111</v>
      </c>
      <c r="B5" s="18">
        <v>5.0999999999999996</v>
      </c>
      <c r="C5" s="13" t="s">
        <v>112</v>
      </c>
    </row>
    <row r="6" spans="1:5" x14ac:dyDescent="0.25">
      <c r="A6" s="13" t="s">
        <v>113</v>
      </c>
      <c r="B6" s="19">
        <v>3.5000000000000003E-2</v>
      </c>
      <c r="C6" s="13" t="s">
        <v>114</v>
      </c>
    </row>
    <row r="7" spans="1:5" x14ac:dyDescent="0.25">
      <c r="A7" s="13" t="s">
        <v>115</v>
      </c>
      <c r="B7" s="20">
        <f>B5*(1+B6)</f>
        <v>5.2784999999999993</v>
      </c>
      <c r="C7" s="13" t="s">
        <v>116</v>
      </c>
    </row>
    <row r="9" spans="1:5" x14ac:dyDescent="0.25">
      <c r="A9" s="3" t="s">
        <v>2</v>
      </c>
      <c r="B9" s="3" t="s">
        <v>117</v>
      </c>
      <c r="C9" s="3" t="s">
        <v>118</v>
      </c>
      <c r="D9" s="3" t="s">
        <v>119</v>
      </c>
      <c r="E9" s="3" t="s">
        <v>110</v>
      </c>
    </row>
    <row r="10" spans="1:5" x14ac:dyDescent="0.25">
      <c r="A10" s="13" t="s">
        <v>3</v>
      </c>
      <c r="B10" s="21">
        <v>60</v>
      </c>
      <c r="C10" s="21">
        <v>150</v>
      </c>
      <c r="D10" s="21">
        <v>300</v>
      </c>
      <c r="E10" s="13" t="s">
        <v>120</v>
      </c>
    </row>
    <row r="11" spans="1:5" x14ac:dyDescent="0.25">
      <c r="A11" s="13" t="s">
        <v>121</v>
      </c>
      <c r="B11" s="21">
        <v>80</v>
      </c>
      <c r="C11" s="21">
        <v>200</v>
      </c>
      <c r="D11" s="21">
        <v>400</v>
      </c>
      <c r="E11" s="13" t="s">
        <v>122</v>
      </c>
    </row>
    <row r="12" spans="1:5" x14ac:dyDescent="0.25">
      <c r="A12" s="13" t="s">
        <v>123</v>
      </c>
      <c r="B12" s="22">
        <v>6</v>
      </c>
      <c r="C12" s="22">
        <v>6.4</v>
      </c>
      <c r="D12" s="22">
        <v>7.5</v>
      </c>
      <c r="E12" s="13" t="s">
        <v>124</v>
      </c>
    </row>
    <row r="13" spans="1:5" x14ac:dyDescent="0.25">
      <c r="A13" s="13" t="s">
        <v>125</v>
      </c>
      <c r="B13" s="22">
        <v>1</v>
      </c>
      <c r="C13" s="22">
        <v>1</v>
      </c>
      <c r="D13" s="22">
        <v>1</v>
      </c>
      <c r="E13" s="13" t="s">
        <v>126</v>
      </c>
    </row>
    <row r="15" spans="1:5" x14ac:dyDescent="0.25">
      <c r="A15" s="3" t="s">
        <v>127</v>
      </c>
      <c r="B15" s="3" t="s">
        <v>128</v>
      </c>
      <c r="C15" s="3" t="s">
        <v>110</v>
      </c>
    </row>
    <row r="16" spans="1:5" x14ac:dyDescent="0.25">
      <c r="A16" s="13" t="s">
        <v>129</v>
      </c>
      <c r="B16" s="18">
        <v>1</v>
      </c>
      <c r="C16" s="13" t="s">
        <v>130</v>
      </c>
    </row>
    <row r="17" spans="1:4" x14ac:dyDescent="0.25">
      <c r="A17" s="13" t="s">
        <v>22</v>
      </c>
      <c r="B17" s="18">
        <v>1.25</v>
      </c>
      <c r="C17" s="13" t="s">
        <v>131</v>
      </c>
    </row>
    <row r="18" spans="1:4" x14ac:dyDescent="0.25">
      <c r="A18" s="13" t="s">
        <v>132</v>
      </c>
      <c r="B18" s="19">
        <v>0.1</v>
      </c>
      <c r="C18" s="13" t="s">
        <v>133</v>
      </c>
    </row>
    <row r="20" spans="1:4" x14ac:dyDescent="0.25">
      <c r="A20" s="3" t="s">
        <v>134</v>
      </c>
      <c r="B20" s="3" t="s">
        <v>109</v>
      </c>
      <c r="C20" s="3" t="s">
        <v>135</v>
      </c>
      <c r="D20" s="3" t="s">
        <v>110</v>
      </c>
    </row>
    <row r="21" spans="1:4" x14ac:dyDescent="0.25">
      <c r="A21" s="13" t="s">
        <v>136</v>
      </c>
      <c r="B21" s="22">
        <v>5</v>
      </c>
      <c r="C21" s="13" t="s">
        <v>137</v>
      </c>
      <c r="D21" s="13" t="s">
        <v>138</v>
      </c>
    </row>
    <row r="22" spans="1:4" x14ac:dyDescent="0.25">
      <c r="A22" s="13" t="s">
        <v>139</v>
      </c>
      <c r="B22" s="22">
        <v>5</v>
      </c>
      <c r="C22" s="13" t="s">
        <v>137</v>
      </c>
      <c r="D22" s="13" t="s">
        <v>138</v>
      </c>
    </row>
    <row r="23" spans="1:4" x14ac:dyDescent="0.25">
      <c r="A23" s="13" t="s">
        <v>140</v>
      </c>
      <c r="B23" s="23">
        <v>40</v>
      </c>
      <c r="C23" s="13" t="s">
        <v>141</v>
      </c>
      <c r="D23" s="13" t="s">
        <v>142</v>
      </c>
    </row>
    <row r="24" spans="1:4" x14ac:dyDescent="0.25">
      <c r="A24" s="13" t="s">
        <v>143</v>
      </c>
      <c r="B24" s="23">
        <v>100</v>
      </c>
      <c r="C24" s="13" t="s">
        <v>144</v>
      </c>
      <c r="D24" s="13" t="s">
        <v>145</v>
      </c>
    </row>
    <row r="25" spans="1:4" x14ac:dyDescent="0.25">
      <c r="A25" s="13" t="s">
        <v>146</v>
      </c>
      <c r="B25" s="24">
        <v>0.1</v>
      </c>
      <c r="C25" s="13" t="s">
        <v>147</v>
      </c>
      <c r="D25" s="13" t="s">
        <v>148</v>
      </c>
    </row>
    <row r="26" spans="1:4" x14ac:dyDescent="0.25">
      <c r="A26" s="13" t="s">
        <v>149</v>
      </c>
      <c r="B26" s="24">
        <v>0.12</v>
      </c>
      <c r="C26" s="13" t="s">
        <v>147</v>
      </c>
      <c r="D26" s="13" t="s">
        <v>150</v>
      </c>
    </row>
    <row r="27" spans="1:4" x14ac:dyDescent="0.25">
      <c r="A27" s="13" t="s">
        <v>151</v>
      </c>
      <c r="B27" s="24">
        <v>3.5000000000000003E-2</v>
      </c>
      <c r="C27" s="13" t="s">
        <v>147</v>
      </c>
      <c r="D27" s="13" t="s">
        <v>152</v>
      </c>
    </row>
    <row r="28" spans="1:4" x14ac:dyDescent="0.25">
      <c r="A28" s="13" t="s">
        <v>153</v>
      </c>
      <c r="B28" s="24">
        <v>3.5000000000000003E-2</v>
      </c>
      <c r="C28" s="13" t="s">
        <v>147</v>
      </c>
      <c r="D28" s="13" t="s">
        <v>154</v>
      </c>
    </row>
    <row r="29" spans="1:4" x14ac:dyDescent="0.25">
      <c r="A29" s="13" t="s">
        <v>155</v>
      </c>
      <c r="B29" s="21">
        <v>100</v>
      </c>
      <c r="C29" s="13" t="s">
        <v>156</v>
      </c>
      <c r="D29" s="13" t="s">
        <v>157</v>
      </c>
    </row>
    <row r="30" spans="1:4" x14ac:dyDescent="0.25">
      <c r="A30" s="13" t="s">
        <v>158</v>
      </c>
      <c r="B30" s="22">
        <v>20</v>
      </c>
      <c r="C30" s="13" t="s">
        <v>137</v>
      </c>
      <c r="D30" s="13" t="s">
        <v>157</v>
      </c>
    </row>
    <row r="31" spans="1:4" x14ac:dyDescent="0.25">
      <c r="A31" s="13" t="s">
        <v>159</v>
      </c>
      <c r="B31" s="21">
        <v>300</v>
      </c>
      <c r="C31" s="13" t="s">
        <v>156</v>
      </c>
      <c r="D31" s="13" t="s">
        <v>160</v>
      </c>
    </row>
    <row r="32" spans="1:4" x14ac:dyDescent="0.25">
      <c r="A32" s="13" t="s">
        <v>161</v>
      </c>
      <c r="B32" s="22">
        <v>9</v>
      </c>
      <c r="C32" s="13" t="s">
        <v>137</v>
      </c>
      <c r="D32" s="13" t="s">
        <v>160</v>
      </c>
    </row>
    <row r="33" spans="1:4" x14ac:dyDescent="0.25">
      <c r="A33" s="13" t="s">
        <v>162</v>
      </c>
      <c r="B33" s="23">
        <v>0</v>
      </c>
      <c r="C33" s="13" t="s">
        <v>144</v>
      </c>
      <c r="D33" s="13" t="s">
        <v>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"/>
  <sheetViews>
    <sheetView showGridLines="0" workbookViewId="0"/>
  </sheetViews>
  <sheetFormatPr defaultRowHeight="15" x14ac:dyDescent="0.25"/>
  <cols>
    <col min="1" max="1" width="54.28515625" customWidth="1"/>
    <col min="2" max="2" width="14.28515625" customWidth="1"/>
    <col min="3" max="3" width="20" customWidth="1"/>
    <col min="4" max="4" width="17.140625" customWidth="1"/>
    <col min="5" max="5" width="60" customWidth="1"/>
  </cols>
  <sheetData>
    <row r="1" spans="1:5" ht="18" x14ac:dyDescent="0.25">
      <c r="A1" s="1" t="s">
        <v>164</v>
      </c>
    </row>
    <row r="3" spans="1:5" x14ac:dyDescent="0.25">
      <c r="A3" s="3" t="s">
        <v>165</v>
      </c>
      <c r="B3" s="3" t="s">
        <v>128</v>
      </c>
      <c r="C3" s="3" t="s">
        <v>166</v>
      </c>
      <c r="D3" s="3" t="s">
        <v>167</v>
      </c>
      <c r="E3" s="3" t="s">
        <v>168</v>
      </c>
    </row>
    <row r="4" spans="1:5" x14ac:dyDescent="0.25">
      <c r="A4" s="13" t="s">
        <v>169</v>
      </c>
      <c r="B4" s="25">
        <v>1</v>
      </c>
      <c r="C4" s="6">
        <f>Premissas!B23</f>
        <v>40</v>
      </c>
      <c r="D4" s="8">
        <f>B4*C4</f>
        <v>40</v>
      </c>
      <c r="E4" s="13" t="s">
        <v>170</v>
      </c>
    </row>
    <row r="5" spans="1:5" x14ac:dyDescent="0.25">
      <c r="A5" s="13" t="s">
        <v>171</v>
      </c>
      <c r="B5" s="25">
        <v>1</v>
      </c>
      <c r="C5" s="26">
        <v>20</v>
      </c>
      <c r="D5" s="8">
        <f>B5*C5</f>
        <v>20</v>
      </c>
      <c r="E5" s="13" t="s">
        <v>172</v>
      </c>
    </row>
    <row r="6" spans="1:5" x14ac:dyDescent="0.25">
      <c r="A6" s="13" t="s">
        <v>173</v>
      </c>
      <c r="B6" s="21">
        <v>300</v>
      </c>
      <c r="C6" s="27">
        <f>Premissas!B26</f>
        <v>0.12</v>
      </c>
      <c r="D6" s="8">
        <f>B6*C6</f>
        <v>36</v>
      </c>
      <c r="E6" s="13" t="s">
        <v>65</v>
      </c>
    </row>
    <row r="7" spans="1:5" x14ac:dyDescent="0.25">
      <c r="A7" s="13" t="s">
        <v>174</v>
      </c>
      <c r="B7" s="25">
        <v>1</v>
      </c>
      <c r="C7" s="23">
        <v>0</v>
      </c>
      <c r="D7" s="8">
        <f>B7*C7</f>
        <v>0</v>
      </c>
      <c r="E7" s="13" t="s">
        <v>175</v>
      </c>
    </row>
    <row r="8" spans="1:5" x14ac:dyDescent="0.25">
      <c r="A8" s="13" t="s">
        <v>176</v>
      </c>
      <c r="B8" s="25">
        <v>1</v>
      </c>
      <c r="C8" s="23">
        <v>0</v>
      </c>
      <c r="D8" s="8">
        <f>B8*C8</f>
        <v>0</v>
      </c>
      <c r="E8" s="13" t="s">
        <v>177</v>
      </c>
    </row>
    <row r="9" spans="1:5" x14ac:dyDescent="0.25">
      <c r="A9" s="14" t="s">
        <v>178</v>
      </c>
      <c r="B9" s="28"/>
      <c r="C9" s="28"/>
      <c r="D9" s="15">
        <f>SUM(D4:D8)</f>
        <v>96</v>
      </c>
      <c r="E9" s="2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0"/>
  <sheetViews>
    <sheetView showGridLines="0" workbookViewId="0"/>
  </sheetViews>
  <sheetFormatPr defaultRowHeight="15" x14ac:dyDescent="0.25"/>
  <cols>
    <col min="1" max="1" width="42.85546875" customWidth="1"/>
    <col min="2" max="2" width="34.28515625" customWidth="1"/>
    <col min="3" max="3" width="74.28515625" customWidth="1"/>
    <col min="4" max="4" width="15.7109375" customWidth="1"/>
  </cols>
  <sheetData>
    <row r="1" spans="1:4" ht="18" x14ac:dyDescent="0.25">
      <c r="A1" s="1" t="s">
        <v>179</v>
      </c>
    </row>
    <row r="3" spans="1:4" x14ac:dyDescent="0.25">
      <c r="A3" s="3" t="s">
        <v>165</v>
      </c>
      <c r="B3" s="3" t="s">
        <v>110</v>
      </c>
      <c r="C3" s="3" t="s">
        <v>180</v>
      </c>
      <c r="D3" s="3" t="s">
        <v>181</v>
      </c>
    </row>
    <row r="4" spans="1:4" x14ac:dyDescent="0.25">
      <c r="A4" s="13" t="s">
        <v>182</v>
      </c>
      <c r="B4" s="13" t="s">
        <v>44</v>
      </c>
      <c r="C4" s="13" t="s">
        <v>183</v>
      </c>
      <c r="D4" s="13" t="s">
        <v>184</v>
      </c>
    </row>
    <row r="5" spans="1:4" x14ac:dyDescent="0.25">
      <c r="A5" s="13" t="s">
        <v>185</v>
      </c>
      <c r="B5" s="13" t="s">
        <v>186</v>
      </c>
      <c r="C5" s="13" t="s">
        <v>187</v>
      </c>
      <c r="D5" s="13" t="s">
        <v>184</v>
      </c>
    </row>
    <row r="6" spans="1:4" x14ac:dyDescent="0.25">
      <c r="A6" s="13" t="s">
        <v>188</v>
      </c>
      <c r="B6" s="13" t="s">
        <v>189</v>
      </c>
      <c r="C6" s="13" t="s">
        <v>190</v>
      </c>
      <c r="D6" s="13" t="s">
        <v>184</v>
      </c>
    </row>
    <row r="7" spans="1:4" x14ac:dyDescent="0.25">
      <c r="A7" s="13" t="s">
        <v>191</v>
      </c>
      <c r="B7" s="13" t="s">
        <v>192</v>
      </c>
      <c r="C7" s="13" t="s">
        <v>193</v>
      </c>
      <c r="D7" s="13" t="s">
        <v>184</v>
      </c>
    </row>
    <row r="8" spans="1:4" x14ac:dyDescent="0.25">
      <c r="A8" s="13" t="s">
        <v>194</v>
      </c>
      <c r="B8" s="13" t="s">
        <v>195</v>
      </c>
      <c r="C8" s="13" t="s">
        <v>196</v>
      </c>
      <c r="D8" s="13" t="s">
        <v>184</v>
      </c>
    </row>
    <row r="9" spans="1:4" x14ac:dyDescent="0.25">
      <c r="A9" s="13" t="s">
        <v>197</v>
      </c>
      <c r="B9" s="13" t="s">
        <v>198</v>
      </c>
      <c r="C9" s="13" t="s">
        <v>199</v>
      </c>
      <c r="D9" s="13" t="s">
        <v>184</v>
      </c>
    </row>
    <row r="10" spans="1:4" x14ac:dyDescent="0.25">
      <c r="A10" s="13" t="s">
        <v>27</v>
      </c>
      <c r="B10" s="13" t="s">
        <v>200</v>
      </c>
      <c r="C10" s="13" t="s">
        <v>201</v>
      </c>
      <c r="D10" s="13" t="s">
        <v>184</v>
      </c>
    </row>
    <row r="11" spans="1:4" x14ac:dyDescent="0.25">
      <c r="A11" s="13" t="s">
        <v>202</v>
      </c>
      <c r="B11" s="13" t="s">
        <v>195</v>
      </c>
      <c r="C11" s="13" t="s">
        <v>203</v>
      </c>
      <c r="D11" s="13" t="s">
        <v>184</v>
      </c>
    </row>
    <row r="12" spans="1:4" x14ac:dyDescent="0.25">
      <c r="A12" s="13" t="s">
        <v>204</v>
      </c>
      <c r="B12" s="13" t="s">
        <v>205</v>
      </c>
      <c r="C12" s="13" t="s">
        <v>206</v>
      </c>
      <c r="D12" s="13" t="s">
        <v>184</v>
      </c>
    </row>
    <row r="13" spans="1:4" x14ac:dyDescent="0.25">
      <c r="A13" s="13" t="s">
        <v>207</v>
      </c>
      <c r="B13" s="13" t="s">
        <v>208</v>
      </c>
      <c r="C13" s="13" t="s">
        <v>209</v>
      </c>
      <c r="D13" s="13" t="s">
        <v>184</v>
      </c>
    </row>
    <row r="14" spans="1:4" x14ac:dyDescent="0.25">
      <c r="A14" s="13" t="s">
        <v>140</v>
      </c>
      <c r="B14" s="13" t="s">
        <v>195</v>
      </c>
      <c r="C14" s="13" t="s">
        <v>210</v>
      </c>
      <c r="D14" s="13" t="s">
        <v>184</v>
      </c>
    </row>
    <row r="15" spans="1:4" x14ac:dyDescent="0.25">
      <c r="A15" s="13" t="s">
        <v>211</v>
      </c>
      <c r="B15" s="13" t="s">
        <v>195</v>
      </c>
      <c r="C15" s="13" t="s">
        <v>212</v>
      </c>
      <c r="D15" s="13" t="s">
        <v>184</v>
      </c>
    </row>
    <row r="16" spans="1:4" x14ac:dyDescent="0.25">
      <c r="A16" s="13" t="s">
        <v>213</v>
      </c>
      <c r="B16" s="13" t="s">
        <v>95</v>
      </c>
      <c r="C16" s="13" t="s">
        <v>214</v>
      </c>
      <c r="D16" s="13" t="s">
        <v>184</v>
      </c>
    </row>
    <row r="17" spans="1:4" x14ac:dyDescent="0.25">
      <c r="A17" s="13" t="s">
        <v>215</v>
      </c>
      <c r="B17" s="13" t="s">
        <v>216</v>
      </c>
      <c r="C17" s="13" t="s">
        <v>217</v>
      </c>
      <c r="D17" s="13" t="s">
        <v>184</v>
      </c>
    </row>
    <row r="18" spans="1:4" x14ac:dyDescent="0.25">
      <c r="A18" s="13" t="s">
        <v>218</v>
      </c>
      <c r="B18" s="13" t="s">
        <v>195</v>
      </c>
      <c r="C18" s="13" t="s">
        <v>219</v>
      </c>
      <c r="D18" s="13" t="s">
        <v>184</v>
      </c>
    </row>
    <row r="19" spans="1:4" x14ac:dyDescent="0.25">
      <c r="A19" s="13" t="s">
        <v>220</v>
      </c>
      <c r="B19" s="13" t="s">
        <v>221</v>
      </c>
      <c r="C19" s="13" t="s">
        <v>222</v>
      </c>
      <c r="D19" s="13" t="s">
        <v>184</v>
      </c>
    </row>
    <row r="20" spans="1:4" x14ac:dyDescent="0.25">
      <c r="A20" s="13" t="s">
        <v>223</v>
      </c>
      <c r="B20" s="13" t="s">
        <v>224</v>
      </c>
      <c r="C20" s="13" t="s">
        <v>225</v>
      </c>
      <c r="D20" s="13" t="s">
        <v>184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Resumo</vt:lpstr>
      <vt:lpstr>Custo mensal</vt:lpstr>
      <vt:lpstr>Stack recomendada</vt:lpstr>
      <vt:lpstr>Premissas</vt:lpstr>
      <vt:lpstr>Custos únicos</vt:lpstr>
      <vt:lpstr>Fontes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Maciel</cp:lastModifiedBy>
  <dcterms:created xsi:type="dcterms:W3CDTF">2026-10-30T23:30:39Z</dcterms:created>
  <dcterms:modified xsi:type="dcterms:W3CDTF">2026-10-30T23:30:39Z</dcterms:modified>
</cp:coreProperties>
</file>